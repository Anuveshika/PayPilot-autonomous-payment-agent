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UVESHIKA\Documents\autonomous payment agent\outputs\019fc778-3f27-7581-8b50-557234bc7b8a\"/>
    </mc:Choice>
  </mc:AlternateContent>
  <xr:revisionPtr revIDLastSave="0" documentId="13_ncr:1_{7AEFA582-19E8-492B-8D69-9441C0B6D708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ummary" sheetId="1" r:id="rId1"/>
    <sheet name="Test Cases" sheetId="2" r:id="rId2"/>
    <sheet name="Testing Evidence" sheetId="3" r:id="rId3"/>
    <sheet name="Production Gap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15" i="1"/>
  <c r="B14" i="1"/>
  <c r="B13" i="1"/>
  <c r="B12" i="1"/>
  <c r="B7" i="1"/>
  <c r="B6" i="1"/>
  <c r="B5" i="1"/>
  <c r="B8" i="1" s="1"/>
</calcChain>
</file>

<file path=xl/sharedStrings.xml><?xml version="1.0" encoding="utf-8"?>
<sst xmlns="http://schemas.openxmlformats.org/spreadsheetml/2006/main" count="1105" uniqueCount="417">
  <si>
    <t>PayPilot Automated Test Register</t>
  </si>
  <si>
    <t>Verified automated execution evidence | PAYPILOT-20260817132054</t>
  </si>
  <si>
    <t>Total automated tests</t>
  </si>
  <si>
    <t>Line coverage</t>
  </si>
  <si>
    <t>Passed</t>
  </si>
  <si>
    <t>Branch coverage</t>
  </si>
  <si>
    <t>Failed</t>
  </si>
  <si>
    <t>Function coverage</t>
  </si>
  <si>
    <t>Pass rate</t>
  </si>
  <si>
    <t>Previous test count</t>
  </si>
  <si>
    <t>Known npm audit findings</t>
  </si>
  <si>
    <t>New test cases added</t>
  </si>
  <si>
    <t>Category</t>
  </si>
  <si>
    <t>Passed tests</t>
  </si>
  <si>
    <t>Result: 56 of 56 automated tests passed. Each case is linked to a captured TAP assertion in Testing Evidence.</t>
  </si>
  <si>
    <t>AI &amp; Configuration</t>
  </si>
  <si>
    <t>Cryptography &amp; IDs</t>
  </si>
  <si>
    <t>Money &amp; Errors</t>
  </si>
  <si>
    <t>State &amp; Eventing</t>
  </si>
  <si>
    <t>Scope limit: Circle Agent Stack, a real USDC transaction, the agent wallet/explorer proof, the user's live Gemini Cloud project, live Razorpay, Cloud SQL, load/chaos, and production operations remain untested. See Production Gaps.</t>
  </si>
  <si>
    <t>Storage</t>
  </si>
  <si>
    <t>Demo Payment Rail</t>
  </si>
  <si>
    <t>Razorpay</t>
  </si>
  <si>
    <t>Business Registry</t>
  </si>
  <si>
    <t>Pricing</t>
  </si>
  <si>
    <t>HTTP &amp; Integration</t>
  </si>
  <si>
    <t>Security &amp; Failure Paths</t>
  </si>
  <si>
    <t>Evidence log SHA-256: 52e0bde655ac966c73b82c7ab35f95ea272c1147d131da4f00670c9ee46e6316</t>
  </si>
  <si>
    <t>Requirement reference: https://www.geminixprize.com/agentic-payments#section-5</t>
  </si>
  <si>
    <t>56 Automated Test Cases</t>
  </si>
  <si>
    <t>Run PAYPILOT-20260817132054 | 56 passed, 0 failed | Evidence references EV-001 to EV-056</t>
  </si>
  <si>
    <t>Test ID</t>
  </si>
  <si>
    <t>Test Case</t>
  </si>
  <si>
    <t>Level</t>
  </si>
  <si>
    <t>Expected Result</t>
  </si>
  <si>
    <t>Status</t>
  </si>
  <si>
    <t>Evidence ID</t>
  </si>
  <si>
    <t>Observed Evidence</t>
  </si>
  <si>
    <t>Duration (ms)</t>
  </si>
  <si>
    <t>Source File</t>
  </si>
  <si>
    <t>Execution Run</t>
  </si>
  <si>
    <t>Evidence Time</t>
  </si>
  <si>
    <t>Priority</t>
  </si>
  <si>
    <t>TC-001</t>
  </si>
  <si>
    <t>Demo AI provider returns an isolated structured fallback and metered usage</t>
  </si>
  <si>
    <t>Unit</t>
  </si>
  <si>
    <t>The behavior described by the test is enforced and all assertions pass.</t>
  </si>
  <si>
    <t>EV-001</t>
  </si>
  <si>
    <t>TAP ok 1: demo AI provider returns an isolated structured fallback and metered usage</t>
  </si>
  <si>
    <t>test/ai-provider.test.js</t>
  </si>
  <si>
    <t>PAYPILOT-20260817132054</t>
  </si>
  <si>
    <t>High</t>
  </si>
  <si>
    <t>TC-002</t>
  </si>
  <si>
    <t>Vertex provider normalizes Gemini JSON and authoritative token counts</t>
  </si>
  <si>
    <t>EV-002</t>
  </si>
  <si>
    <t>TAP ok 2: Vertex provider normalizes Gemini JSON and authoritative token counts</t>
  </si>
  <si>
    <t>TC-003</t>
  </si>
  <si>
    <t>Vertex provider fails closed on malformed JSON or missing usage</t>
  </si>
  <si>
    <t>Failure path</t>
  </si>
  <si>
    <t>Unsafe or invalid input is rejected with the expected controlled error or decision.</t>
  </si>
  <si>
    <t>EV-003</t>
  </si>
  <si>
    <t>TAP ok 3: Vertex provider fails closed on malformed JSON or missing usage</t>
  </si>
  <si>
    <t>TC-004</t>
  </si>
  <si>
    <t>Private Cloud Run provider uses an ID-token client and correlation id</t>
  </si>
  <si>
    <t>EV-004</t>
  </si>
  <si>
    <t>TAP ok 4: private Cloud Run provider uses an ID-token client and correlation id</t>
  </si>
  <si>
    <t>TC-005</t>
  </si>
  <si>
    <t>Production configuration refuses demo payment and AI providers</t>
  </si>
  <si>
    <t>Configuration</t>
  </si>
  <si>
    <t>EV-005</t>
  </si>
  <si>
    <t>TAP ok 5: production configuration refuses demo payment and AI providers</t>
  </si>
  <si>
    <t>test/config.test.js</t>
  </si>
  <si>
    <t>Critical</t>
  </si>
  <si>
    <t>TC-006</t>
  </si>
  <si>
    <t>Non-demo payment modes fail closed without a production adapter</t>
  </si>
  <si>
    <t>EV-006</t>
  </si>
  <si>
    <t>TAP ok 6: non-demo payment modes fail closed without a production adapter</t>
  </si>
  <si>
    <t>TC-007</t>
  </si>
  <si>
    <t>Canonical JSON and SHA-256 are stable across nested key order</t>
  </si>
  <si>
    <t>EV-007</t>
  </si>
  <si>
    <t>TAP ok 7: canonical JSON and SHA-256 are stable across nested key order</t>
  </si>
  <si>
    <t>test/extended-edge-cases.test.js</t>
  </si>
  <si>
    <t>TC-008</t>
  </si>
  <si>
    <t>HMAC verification rejects wrong secrets, tampering, and malformed signatures</t>
  </si>
  <si>
    <t>Security</t>
  </si>
  <si>
    <t>EV-008</t>
  </si>
  <si>
    <t>TAP ok 8: HMAC verification rejects wrong secrets, tampering, and malformed signatures</t>
  </si>
  <si>
    <t>TC-009</t>
  </si>
  <si>
    <t>Generated identifiers preserve the prefix and provide unique 96-bit hex suffixes</t>
  </si>
  <si>
    <t>EV-009</t>
  </si>
  <si>
    <t>TAP ok 9: generated identifiers preserve the prefix and provide unique 96-bit hex suffixes</t>
  </si>
  <si>
    <t>Medium</t>
  </si>
  <si>
    <t>TC-010</t>
  </si>
  <si>
    <t>USDC parser rejects negative, signed, leading-zero, empty, and non-decimal inputs</t>
  </si>
  <si>
    <t>Boundary</t>
  </si>
  <si>
    <t>EV-010</t>
  </si>
  <si>
    <t>TAP ok 10: USDC parser rejects negative, signed, leading-zero, empty, and non-decimal inputs</t>
  </si>
  <si>
    <t>TC-011</t>
  </si>
  <si>
    <t>USDC formatting handles trimming, zero, negative values, and public money output</t>
  </si>
  <si>
    <t>The exact integer amount and integrity rule match the deterministic pricing contract.</t>
  </si>
  <si>
    <t>EV-011</t>
  </si>
  <si>
    <t>TAP ok 11: USDC formatting handles trimming, zero, negative values, and public money output</t>
  </si>
  <si>
    <t>TC-012</t>
  </si>
  <si>
    <t>Money aggregation and ceiling division preserve integer semantics</t>
  </si>
  <si>
    <t>EV-012</t>
  </si>
  <si>
    <t>TAP ok 12: money aggregation and ceiling division preserve integer semantics</t>
  </si>
  <si>
    <t>TC-013</t>
  </si>
  <si>
    <t>Application error subclasses retain machine-readable status, code, and details</t>
  </si>
  <si>
    <t>Contract</t>
  </si>
  <si>
    <t>EV-013</t>
  </si>
  <si>
    <t>TAP ok 13: application error subclasses retain machine-readable status, code, and details</t>
  </si>
  <si>
    <t>TC-014</t>
  </si>
  <si>
    <t>State transition allowlist covers recovery and refund paths while terminal states stop</t>
  </si>
  <si>
    <t>Only allowlisted state transitions occur and history remains auditable.</t>
  </si>
  <si>
    <t>EV-014</t>
  </si>
  <si>
    <t>TAP ok 14: state transition allowlist covers recovery and refund paths while terminal states stop</t>
  </si>
  <si>
    <t>TC-015</t>
  </si>
  <si>
    <t>State transitions append an auditable timestamped history and revision</t>
  </si>
  <si>
    <t>EV-015</t>
  </si>
  <si>
    <t>TAP ok 15: state transitions append an auditable timestamped history and revision</t>
  </si>
  <si>
    <t>TC-016</t>
  </si>
  <si>
    <t>Event hub isolates sessions, fans out to listeners, and fully unsubscribes</t>
  </si>
  <si>
    <t>EV-016</t>
  </si>
  <si>
    <t>TAP ok 16: event hub isolates sessions, fans out to listeners, and fully unsubscribes</t>
  </si>
  <si>
    <t>TC-017</t>
  </si>
  <si>
    <t>JSON store merges legacy files with schema defaults and returns defensive clones</t>
  </si>
  <si>
    <t>EV-017</t>
  </si>
  <si>
    <t>TAP ok 17: JSON store merges legacy files with schema defaults and returns defensive clones</t>
  </si>
  <si>
    <t>TC-018</t>
  </si>
  <si>
    <t>Demo wallet balance and daily spend count only settled matching-wallet payments</t>
  </si>
  <si>
    <t>EV-018</t>
  </si>
  <si>
    <t>TAP ok 18: demo wallet balance and daily spend count only settled matching-wallet payments</t>
  </si>
  <si>
    <t>TC-019</t>
  </si>
  <si>
    <t>Demo authorization signature detects amount and payer tampering</t>
  </si>
  <si>
    <t>Tampering is detected and no unauthorized authorization, payment, or receipt is accepted.</t>
  </si>
  <si>
    <t>EV-019</t>
  </si>
  <si>
    <t>TAP ok 19: demo authorization signature detects amount and payer tampering</t>
  </si>
  <si>
    <t>TC-020</t>
  </si>
  <si>
    <t>Demo settlement rejects an amount above the remaining wallet balance</t>
  </si>
  <si>
    <t>EV-020</t>
  </si>
  <si>
    <t>TAP ok 20: demo settlement rejects an amount above the remaining wallet balance</t>
  </si>
  <si>
    <t>TC-021</t>
  </si>
  <si>
    <t>Razorpay verification rejects incomplete proof and unsupported webhook body types</t>
  </si>
  <si>
    <t>EV-021</t>
  </si>
  <si>
    <t>TAP ok 21: Razorpay verification rejects incomplete proof and unsupported webhook body types</t>
  </si>
  <si>
    <t>TC-022</t>
  </si>
  <si>
    <t>Razorpay webhook freshness rejects missing and far-future timestamps</t>
  </si>
  <si>
    <t>EV-022</t>
  </si>
  <si>
    <t>TAP ok 22: Razorpay webhook freshness rejects missing and far-future timestamps</t>
  </si>
  <si>
    <t>TC-023</t>
  </si>
  <si>
    <t>Business service validators enforce required text and numeric page boundaries</t>
  </si>
  <si>
    <t>EV-023</t>
  </si>
  <si>
    <t>TAP ok 23: business service validators enforce required text and numeric page boundaries</t>
  </si>
  <si>
    <t>TC-024</t>
  </si>
  <si>
    <t>Public business discovery omits executable hooks and unknown ids fail clearly</t>
  </si>
  <si>
    <t>EV-024</t>
  </si>
  <si>
    <t>TAP ok 24: public business discovery omits executable hooks and unknown ids fail clearly</t>
  </si>
  <si>
    <t>TC-025</t>
  </si>
  <si>
    <t>Pricing rejects non-positive usage and preserves a net credit without minimum charge</t>
  </si>
  <si>
    <t>EV-025</t>
  </si>
  <si>
    <t>TAP ok 25: pricing rejects non-positive usage and preserves a net credit without minimum charge</t>
  </si>
  <si>
    <t>TC-026</t>
  </si>
  <si>
    <t>Pricing explanation groups repeated event types with exact totals</t>
  </si>
  <si>
    <t>EV-026</t>
  </si>
  <si>
    <t>TAP ok 26: pricing explanation groups repeated event types with exact totals</t>
  </si>
  <si>
    <t>TC-027</t>
  </si>
  <si>
    <t>Health and discovery endpoints expose configured services</t>
  </si>
  <si>
    <t>EV-027</t>
  </si>
  <si>
    <t>TAP ok 27: health and discovery endpoints expose configured services</t>
  </si>
  <si>
    <t>test/http.test.js</t>
  </si>
  <si>
    <t>TC-028</t>
  </si>
  <si>
    <t>HTTP boundary rejects invalid JSON, unknown routes, and invalid wallets</t>
  </si>
  <si>
    <t>EV-028</t>
  </si>
  <si>
    <t>TAP ok 28: HTTP boundary rejects invalid JSON, unknown routes, and invalid wallets</t>
  </si>
  <si>
    <t>TC-029</t>
  </si>
  <si>
    <t>Complete payment flow works through the public HTTP contract</t>
  </si>
  <si>
    <t>Integration</t>
  </si>
  <si>
    <t>The governed flow completes once and returns the expected result, settlement, and signed receipt.</t>
  </si>
  <si>
    <t>EV-029</t>
  </si>
  <si>
    <t>TAP ok 29: complete payment flow works through the public HTTP contract</t>
  </si>
  <si>
    <t>TC-030</t>
  </si>
  <si>
    <t>Autonomous capped flow settles actual usage and delivers a signed receipt</t>
  </si>
  <si>
    <t>EV-030</t>
  </si>
  <si>
    <t>TAP ok 30: autonomous capped flow settles actual usage and delivers a signed receipt</t>
  </si>
  <si>
    <t>test/integration.test.js</t>
  </si>
  <si>
    <t>TC-031</t>
  </si>
  <si>
    <t>User payment agent rejects a merchant outside its allowlist</t>
  </si>
  <si>
    <t>EV-031</t>
  </si>
  <si>
    <t>TAP ok 31: user payment agent rejects a merchant outside its allowlist</t>
  </si>
  <si>
    <t>TC-032</t>
  </si>
  <si>
    <t>Merchant policy rejects authorization tampering</t>
  </si>
  <si>
    <t>EV-032</t>
  </si>
  <si>
    <t>TAP ok 32: merchant policy rejects authorization tampering</t>
  </si>
  <si>
    <t>TC-033</t>
  </si>
  <si>
    <t>Low cap stops expensive work and settles only completed usage</t>
  </si>
  <si>
    <t>EV-033</t>
  </si>
  <si>
    <t>TAP ok 33: low cap stops expensive work and settles only completed usage</t>
  </si>
  <si>
    <t>TC-034</t>
  </si>
  <si>
    <t>Usage idempotency returns one immutable event</t>
  </si>
  <si>
    <t>EV-034</t>
  </si>
  <si>
    <t>TAP ok 34: usage idempotency returns one immutable event</t>
  </si>
  <si>
    <t>TC-035</t>
  </si>
  <si>
    <t>USDC parsing uses exact six-decimal atomic integers</t>
  </si>
  <si>
    <t>EV-035</t>
  </si>
  <si>
    <t>TAP ok 35: USDC parsing uses exact six-decimal atomic integers</t>
  </si>
  <si>
    <t>test/money.test.js</t>
  </si>
  <si>
    <t>TC-036</t>
  </si>
  <si>
    <t>Basis-point markup rounds upward without floating point</t>
  </si>
  <si>
    <t>EV-036</t>
  </si>
  <si>
    <t>TAP ok 36: basis-point markup rounds upward without floating point</t>
  </si>
  <si>
    <t>TC-037</t>
  </si>
  <si>
    <t>Pricing engine uses rational arithmetic and upward rounding</t>
  </si>
  <si>
    <t>EV-037</t>
  </si>
  <si>
    <t>TAP ok 37: pricing engine uses rational arithmetic and upward rounding</t>
  </si>
  <si>
    <t>test/pricing.test.js</t>
  </si>
  <si>
    <t>TC-038</t>
  </si>
  <si>
    <t>Minimum charge applies only to positive subtotals</t>
  </si>
  <si>
    <t>EV-038</t>
  </si>
  <si>
    <t>TAP ok 38: minimum charge applies only to positive subtotals</t>
  </si>
  <si>
    <t>TC-039</t>
  </si>
  <si>
    <t>Pricing engine rejects unsupported or altered usage</t>
  </si>
  <si>
    <t>EV-039</t>
  </si>
  <si>
    <t>TAP ok 39: pricing engine rejects unsupported or altered usage</t>
  </si>
  <si>
    <t>TC-040</t>
  </si>
  <si>
    <t>Razorpay checkout proof is bound to the server order and payment ids</t>
  </si>
  <si>
    <t>EV-040</t>
  </si>
  <si>
    <t>TAP ok 40: Razorpay checkout proof is bound to the server order and payment ids</t>
  </si>
  <si>
    <t>test/razorpay-signatures.test.js</t>
  </si>
  <si>
    <t>TC-041</t>
  </si>
  <si>
    <t>Razorpay webhook verification uses the untouched raw request body</t>
  </si>
  <si>
    <t>Only correctly signed, fresh, raw-body webhook evidence is accepted.</t>
  </si>
  <si>
    <t>EV-041</t>
  </si>
  <si>
    <t>TAP ok 41: Razorpay webhook verification uses the untouched raw request body</t>
  </si>
  <si>
    <t>TC-042</t>
  </si>
  <si>
    <t>Razorpay webhook replay window rejects stale events</t>
  </si>
  <si>
    <t>EV-042</t>
  </si>
  <si>
    <t>TAP ok 42: Razorpay webhook replay window rejects stale events</t>
  </si>
  <si>
    <t>TC-043</t>
  </si>
  <si>
    <t>Expired capped offer is rejected before signing</t>
  </si>
  <si>
    <t>EV-043</t>
  </si>
  <si>
    <t>TAP ok 43: expired capped offer is rejected before signing</t>
  </si>
  <si>
    <t>test/security.test.js</t>
  </si>
  <si>
    <t>TC-044</t>
  </si>
  <si>
    <t>Emergency stop blocks new payment authorizations</t>
  </si>
  <si>
    <t>EV-044</t>
  </si>
  <si>
    <t>TAP ok 44: emergency stop blocks new payment authorizations</t>
  </si>
  <si>
    <t>TC-045</t>
  </si>
  <si>
    <t>Authorization nonce replay is rejected</t>
  </si>
  <si>
    <t>EV-045</t>
  </si>
  <si>
    <t>TAP ok 45: authorization nonce replay is rejected</t>
  </si>
  <si>
    <t>TC-046</t>
  </si>
  <si>
    <t>Authorization cannot be moved to another session</t>
  </si>
  <si>
    <t>EV-046</t>
  </si>
  <si>
    <t>TAP ok 46: authorization cannot be moved to another session</t>
  </si>
  <si>
    <t>TC-047</t>
  </si>
  <si>
    <t>Token or network tampering is rejected</t>
  </si>
  <si>
    <t>EV-047</t>
  </si>
  <si>
    <t>TAP ok 47: token or network tampering is rejected</t>
  </si>
  <si>
    <t>TC-048</t>
  </si>
  <si>
    <t>Settlement recalculates and rejects a tampered ledger</t>
  </si>
  <si>
    <t>EV-048</t>
  </si>
  <si>
    <t>TAP ok 48: settlement recalculates and rejects a tampered ledger</t>
  </si>
  <si>
    <t>TC-049</t>
  </si>
  <si>
    <t>Two concurrent run requests create one execution and one settlement</t>
  </si>
  <si>
    <t>Concurrency</t>
  </si>
  <si>
    <t>Concurrent requests serialize or deduplicate without duplicate execution, payment, or lost updates.</t>
  </si>
  <si>
    <t>EV-049</t>
  </si>
  <si>
    <t>TAP ok 49: two concurrent run requests create one execution and one settlement</t>
  </si>
  <si>
    <t>TC-050</t>
  </si>
  <si>
    <t>Cancelled session cannot start and receipt tampering is detectable</t>
  </si>
  <si>
    <t>EV-050</t>
  </si>
  <si>
    <t>TAP ok 50: cancelled session cannot start and receipt tampering is detectable</t>
  </si>
  <si>
    <t>TC-051</t>
  </si>
  <si>
    <t>Spending and manual-approval policies fail closed</t>
  </si>
  <si>
    <t>EV-051</t>
  </si>
  <si>
    <t>TAP ok 51: spending and manual-approval policies fail closed</t>
  </si>
  <si>
    <t>TC-052</t>
  </si>
  <si>
    <t>Provider-reported Gemini usage becomes deterministic ledger events</t>
  </si>
  <si>
    <t>EV-052</t>
  </si>
  <si>
    <t>TAP ok 52: provider-reported Gemini usage becomes deterministic ledger events</t>
  </si>
  <si>
    <t>TC-053</t>
  </si>
  <si>
    <t>AI provider failure releases no result and submits no payment</t>
  </si>
  <si>
    <t>EV-053</t>
  </si>
  <si>
    <t>TAP ok 53: AI provider failure releases no result and submits no payment</t>
  </si>
  <si>
    <t>TC-054</t>
  </si>
  <si>
    <t>Ambiguous payment outcome is preserved as PAYMENT_UNCERTAIN without retry</t>
  </si>
  <si>
    <t>EV-054</t>
  </si>
  <si>
    <t>TAP ok 54: ambiguous payment outcome is preserved as PAYMENT_UNCERTAIN without retry</t>
  </si>
  <si>
    <t>TC-055</t>
  </si>
  <si>
    <t>Session state machine rejects skipped settlement states</t>
  </si>
  <si>
    <t>EV-055</t>
  </si>
  <si>
    <t>TAP ok 55: session state machine rejects skipped settlement states</t>
  </si>
  <si>
    <t>test/state-machine.test.js</t>
  </si>
  <si>
    <t>TC-056</t>
  </si>
  <si>
    <t>JSON store serializes concurrent transactions without lost updates</t>
  </si>
  <si>
    <t>EV-056</t>
  </si>
  <si>
    <t>TAP ok 56: JSON store serializes concurrent transactions without lost updates</t>
  </si>
  <si>
    <t>test/storage.test.js</t>
  </si>
  <si>
    <t>Testing Evidence — Captured Automated Execution</t>
  </si>
  <si>
    <t>Evidence is traceable to a saved TAP log; the SHA-256 digest below detects any later modification.</t>
  </si>
  <si>
    <t>Run ID</t>
  </si>
  <si>
    <t>Started UTC</t>
  </si>
  <si>
    <t>Command</t>
  </si>
  <si>
    <t>C:\Users\ANUVESHIKA\.cache\codex-runtimes\codex-primary-runtime\dependencies\node\bin\node.exe --test --test-reporter=tap --test-concurrency=1 --experimental-test-coverage --test-coverage-include=src/**/*.js --test-coverage-exclude=src/public/** --test-coverage-exclude=src/server.js --test-coverage-lines=88 --test-coverage-branches=70 --test-coverage-functions=85</t>
  </si>
  <si>
    <t>Completed UTC</t>
  </si>
  <si>
    <t>Working directory</t>
  </si>
  <si>
    <t>C:/Users/ANUVESHIKA/Documents/autonomous payment agent</t>
  </si>
  <si>
    <t>Exit code</t>
  </si>
  <si>
    <t>Runtime</t>
  </si>
  <si>
    <t>v24.19.0 | win32-x64</t>
  </si>
  <si>
    <t>Tests</t>
  </si>
  <si>
    <t>Result</t>
  </si>
  <si>
    <t>56 passed / 0 failed / 0 skipped</t>
  </si>
  <si>
    <t>npm audit</t>
  </si>
  <si>
    <t>Coverage</t>
  </si>
  <si>
    <t>91.24% lines | 78.62% branches | 92.06% functions</t>
  </si>
  <si>
    <t>Evidence log</t>
  </si>
  <si>
    <t>.data/deliverables-build/test-evidence.log</t>
  </si>
  <si>
    <t>Log SHA-256</t>
  </si>
  <si>
    <t>52e0bde655ac966c73b82c7ab35f95ea272c1147d131da4f00670c9ee46e6316</t>
  </si>
  <si>
    <t>Assertion rows</t>
  </si>
  <si>
    <t>TAP Ordinal</t>
  </si>
  <si>
    <t>Captured Assertion</t>
  </si>
  <si>
    <t>demo AI provider returns an isolated structured fallback and metered usage</t>
  </si>
  <si>
    <t>private Cloud Run provider uses an ID-token client and correlation id</t>
  </si>
  <si>
    <t>production configuration refuses demo payment and AI providers</t>
  </si>
  <si>
    <t>non-demo payment modes fail closed without a production adapter</t>
  </si>
  <si>
    <t>canonical JSON and SHA-256 are stable across nested key order</t>
  </si>
  <si>
    <t>generated identifiers preserve the prefix and provide unique 96-bit hex suffixes</t>
  </si>
  <si>
    <t>money aggregation and ceiling division preserve integer semantics</t>
  </si>
  <si>
    <t>application error subclasses retain machine-readable status, code, and details</t>
  </si>
  <si>
    <t>state transition allowlist covers recovery and refund paths while terminal states stop</t>
  </si>
  <si>
    <t>state transitions append an auditable timestamped history and revision</t>
  </si>
  <si>
    <t>event hub isolates sessions, fans out to listeners, and fully unsubscribes</t>
  </si>
  <si>
    <t>demo wallet balance and daily spend count only settled matching-wallet payments</t>
  </si>
  <si>
    <t>demo authorization signature detects amount and payer tampering</t>
  </si>
  <si>
    <t>demo settlement rejects an amount above the remaining wallet balance</t>
  </si>
  <si>
    <t>business service validators enforce required text and numeric page boundaries</t>
  </si>
  <si>
    <t>public business discovery omits executable hooks and unknown ids fail clearly</t>
  </si>
  <si>
    <t>pricing rejects non-positive usage and preserves a net credit without minimum charge</t>
  </si>
  <si>
    <t>pricing explanation groups repeated event types with exact totals</t>
  </si>
  <si>
    <t>health and discovery endpoints expose configured services</t>
  </si>
  <si>
    <t>complete payment flow works through the public HTTP contract</t>
  </si>
  <si>
    <t>autonomous capped flow settles actual usage and delivers a signed receipt</t>
  </si>
  <si>
    <t>user payment agent rejects a merchant outside its allowlist</t>
  </si>
  <si>
    <t>merchant policy rejects authorization tampering</t>
  </si>
  <si>
    <t>low cap stops expensive work and settles only completed usage</t>
  </si>
  <si>
    <t>usage idempotency returns one immutable event</t>
  </si>
  <si>
    <t>basis-point markup rounds upward without floating point</t>
  </si>
  <si>
    <t>pricing engine uses rational arithmetic and upward rounding</t>
  </si>
  <si>
    <t>minimum charge applies only to positive subtotals</t>
  </si>
  <si>
    <t>pricing engine rejects unsupported or altered usage</t>
  </si>
  <si>
    <t>expired capped offer is rejected before signing</t>
  </si>
  <si>
    <t>emergency stop blocks new payment authorizations</t>
  </si>
  <si>
    <t>authorization nonce replay is rejected</t>
  </si>
  <si>
    <t>authorization cannot be moved to another session</t>
  </si>
  <si>
    <t>token or network tampering is rejected</t>
  </si>
  <si>
    <t>settlement recalculates and rejects a tampered ledger</t>
  </si>
  <si>
    <t>two concurrent run requests create one execution and one settlement</t>
  </si>
  <si>
    <t>cancelled session cannot start and receipt tampering is detectable</t>
  </si>
  <si>
    <t>spending and manual-approval policies fail closed</t>
  </si>
  <si>
    <t>provider-reported Gemini usage becomes deterministic ledger events</t>
  </si>
  <si>
    <t>ambiguous payment outcome is preserved as PAYMENT_UNCERTAIN without retry</t>
  </si>
  <si>
    <t>session state machine rejects skipped settlement states</t>
  </si>
  <si>
    <t>External and Production Acceptance Tests Still Required</t>
  </si>
  <si>
    <t>These cases are not included in the 56 passing local tests and must not be represented as completed.</t>
  </si>
  <si>
    <t>Gap ID</t>
  </si>
  <si>
    <t>Area</t>
  </si>
  <si>
    <t>Required Test</t>
  </si>
  <si>
    <t>Exit Evidence</t>
  </si>
  <si>
    <t>PG-001</t>
  </si>
  <si>
    <t>Circle</t>
  </si>
  <si>
    <t>Create and deploy the Circle Agent Wallet on the chosen chain</t>
  </si>
  <si>
    <t>Not executed</t>
  </si>
  <si>
    <t>Wallet address is returned and persisted from Circle.</t>
  </si>
  <si>
    <t>PG-002</t>
  </si>
  <si>
    <t>Enforce wallet spending limits, service caps, allowlists, and session expiry</t>
  </si>
  <si>
    <t>Out-of-policy transactions fail at the wallet boundary.</t>
  </si>
  <si>
    <t>PG-003</t>
  </si>
  <si>
    <t>Execute one real autonomous USDC transaction</t>
  </si>
  <si>
    <t>Agent pays without a per-payment human checkout.</t>
  </si>
  <si>
    <t>PG-004</t>
  </si>
  <si>
    <t>Validate transaction hash and clickable block-explorer URL</t>
  </si>
  <si>
    <t>Explorer shows the correct network, wallets, amount, token, and success state.</t>
  </si>
  <si>
    <t>PG-005</t>
  </si>
  <si>
    <t>Exercise Agent Marketplace and x402 / Gateway route</t>
  </si>
  <si>
    <t>Agent discovers and pays a machine-readable service.</t>
  </si>
  <si>
    <t>PG-006</t>
  </si>
  <si>
    <t>Reconcile success, failure, timeout, duplicate, and status lookup</t>
  </si>
  <si>
    <t>No double payment; uncertain outcomes resolve safely.</t>
  </si>
  <si>
    <t>PG-007</t>
  </si>
  <si>
    <t>Gemini</t>
  </si>
  <si>
    <t>Connect the real Vertex AI or private Cloud Run project with IAM</t>
  </si>
  <si>
    <t>Only the intended service account can invoke the AI workload.</t>
  </si>
  <si>
    <t>PG-008</t>
  </si>
  <si>
    <t>Test real quotas, timeouts, malformed output, and authoritative usage metadata</t>
  </si>
  <si>
    <t>Missing or invalid usage fails closed without payment.</t>
  </si>
  <si>
    <t>PG-009</t>
  </si>
  <si>
    <t>Run sandbox Order and Checkout integration</t>
  </si>
  <si>
    <t>Exact INR Order and user checkout bind to the PayPilot session.</t>
  </si>
  <si>
    <t>PG-010</t>
  </si>
  <si>
    <t>Exercise captured, failed, duplicate, out-of-order, refund, and webhook flows</t>
  </si>
  <si>
    <t>Delivery and reconciliation remain idempotent.</t>
  </si>
  <si>
    <t>PG-011</t>
  </si>
  <si>
    <t>Platform</t>
  </si>
  <si>
    <t>Replace JSON storage with Cloud SQL transactional constraints and locks</t>
  </si>
  <si>
    <t>Concurrent production workers preserve one execution and settlement.</t>
  </si>
  <si>
    <t>PG-012</t>
  </si>
  <si>
    <t>Run load, soak, timeout, and chaos testing</t>
  </si>
  <si>
    <t>Service meets agreed latency/error targets and fails safely.</t>
  </si>
  <si>
    <t>PG-013</t>
  </si>
  <si>
    <t>Validate Secret Manager / KMS, identity, rotation, and least privilege</t>
  </si>
  <si>
    <t>Secrets never reach the model, client, logs, or receipts.</t>
  </si>
  <si>
    <t>PG-014</t>
  </si>
  <si>
    <t>Operations</t>
  </si>
  <si>
    <t>Validate logs, metrics, alerts, reconciliation, incident, and rollback runbooks</t>
  </si>
  <si>
    <t>Operators can detect, contain, and recover from payment incidents.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</si>
</sst>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yyyy\-mm\-dd\ hh:mm:ss"/>
  </numFmts>
  <fonts count="14" x14ac:knownFonts="1">
    <font>
      <sz val="11"/>
      <name val="Carlito"/>
    </font>
    <font>
      <b/>
      <sz val="24"/>
      <color rgb="FFFFFFFF"/>
      <name val="Aptos Display"/>
    </font>
    <font>
      <b/>
      <sz val="11"/>
      <color rgb="FF0B2545"/>
      <name val="Carlito"/>
    </font>
    <font>
      <b/>
      <sz val="14"/>
      <color rgb="FF1D6BBF"/>
      <name val="Carlito"/>
    </font>
    <font>
      <b/>
      <sz val="11"/>
      <color rgb="FFFFFFFF"/>
      <name val="Carlito"/>
    </font>
    <font>
      <b/>
      <sz val="12"/>
      <color rgb="FF1F7A4D"/>
      <name val="Carlito"/>
    </font>
    <font>
      <b/>
      <sz val="11"/>
      <color rgb="FF9A5B00"/>
      <name val="Carlito"/>
    </font>
    <font>
      <b/>
      <sz val="10"/>
      <color rgb="FF0B2545"/>
      <name val="Carlito"/>
    </font>
    <font>
      <i/>
      <sz val="10"/>
      <color rgb="FFFFFFFF"/>
      <name val="Carlito"/>
    </font>
    <font>
      <b/>
      <sz val="22"/>
      <color rgb="FFFFFFFF"/>
      <name val="Aptos Display"/>
    </font>
    <font>
      <sz val="10"/>
      <color rgb="FF1D2430"/>
      <name val="Carlito"/>
    </font>
    <font>
      <b/>
      <sz val="21"/>
      <color rgb="FFFFFFFF"/>
      <name val="Aptos Display"/>
    </font>
    <font>
      <b/>
      <sz val="20"/>
      <color rgb="FFFFFFFF"/>
      <name val="Aptos Display"/>
    </font>
    <font>
      <b/>
      <sz val="11"/>
      <color rgb="FFA61B29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8F2FC"/>
      </patternFill>
    </fill>
    <fill>
      <patternFill patternType="solid">
        <fgColor rgb="FFF5F8FC"/>
      </patternFill>
    </fill>
    <fill>
      <patternFill patternType="solid">
        <fgColor rgb="FF1D6BBF"/>
      </patternFill>
    </fill>
    <fill>
      <patternFill patternType="solid">
        <fgColor rgb="FFDCFCE7"/>
      </patternFill>
    </fill>
    <fill>
      <patternFill patternType="solid">
        <fgColor rgb="FFFFF4D6"/>
      </patternFill>
    </fill>
    <fill>
      <patternFill patternType="solid">
        <fgColor rgb="FFFFE3E7"/>
      </patternFill>
    </fill>
  </fills>
  <borders count="26">
    <border>
      <left/>
      <right/>
      <top/>
      <bottom/>
      <diagonal/>
    </border>
    <border>
      <left/>
      <right style="thin">
        <color rgb="FFD5DEE9"/>
      </right>
      <top/>
      <bottom style="thin">
        <color rgb="FFD5DEE9"/>
      </bottom>
      <diagonal/>
    </border>
    <border>
      <left style="thin">
        <color rgb="FFD5DEE9"/>
      </left>
      <right/>
      <top/>
      <bottom style="thin">
        <color rgb="FFD5DEE9"/>
      </bottom>
      <diagonal/>
    </border>
    <border>
      <left/>
      <right style="thin">
        <color rgb="FFD5DEE9"/>
      </right>
      <top style="thin">
        <color rgb="FFD5DEE9"/>
      </top>
      <bottom style="thin">
        <color rgb="FFD5DEE9"/>
      </bottom>
      <diagonal/>
    </border>
    <border>
      <left style="thin">
        <color rgb="FFD5DEE9"/>
      </left>
      <right/>
      <top style="thin">
        <color rgb="FFD5DEE9"/>
      </top>
      <bottom style="thin">
        <color rgb="FFD5DEE9"/>
      </bottom>
      <diagonal/>
    </border>
    <border>
      <left/>
      <right style="thin">
        <color rgb="FFD5DEE9"/>
      </right>
      <top style="thin">
        <color rgb="FFD5DEE9"/>
      </top>
      <bottom/>
      <diagonal/>
    </border>
    <border>
      <left style="thin">
        <color rgb="FFD5DEE9"/>
      </left>
      <right/>
      <top style="thin">
        <color rgb="FFD5DEE9"/>
      </top>
      <bottom/>
      <diagonal/>
    </border>
    <border>
      <left style="medium">
        <color rgb="FF1F7A4D"/>
      </left>
      <right/>
      <top style="medium">
        <color rgb="FF1F7A4D"/>
      </top>
      <bottom/>
      <diagonal/>
    </border>
    <border>
      <left/>
      <right/>
      <top style="medium">
        <color rgb="FF1F7A4D"/>
      </top>
      <bottom/>
      <diagonal/>
    </border>
    <border>
      <left/>
      <right style="medium">
        <color rgb="FF1F7A4D"/>
      </right>
      <top style="medium">
        <color rgb="FF1F7A4D"/>
      </top>
      <bottom/>
      <diagonal/>
    </border>
    <border>
      <left style="medium">
        <color rgb="FF1F7A4D"/>
      </left>
      <right/>
      <top/>
      <bottom/>
      <diagonal/>
    </border>
    <border>
      <left/>
      <right style="medium">
        <color rgb="FF1F7A4D"/>
      </right>
      <top/>
      <bottom/>
      <diagonal/>
    </border>
    <border>
      <left style="medium">
        <color rgb="FF1F7A4D"/>
      </left>
      <right/>
      <top/>
      <bottom style="medium">
        <color rgb="FF1F7A4D"/>
      </bottom>
      <diagonal/>
    </border>
    <border>
      <left/>
      <right/>
      <top/>
      <bottom style="medium">
        <color rgb="FF1F7A4D"/>
      </bottom>
      <diagonal/>
    </border>
    <border>
      <left/>
      <right style="medium">
        <color rgb="FF1F7A4D"/>
      </right>
      <top/>
      <bottom style="medium">
        <color rgb="FF1F7A4D"/>
      </bottom>
      <diagonal/>
    </border>
    <border>
      <left style="medium">
        <color rgb="FF9A5B00"/>
      </left>
      <right/>
      <top style="medium">
        <color rgb="FF9A5B00"/>
      </top>
      <bottom/>
      <diagonal/>
    </border>
    <border>
      <left/>
      <right/>
      <top style="medium">
        <color rgb="FF9A5B00"/>
      </top>
      <bottom/>
      <diagonal/>
    </border>
    <border>
      <left/>
      <right style="medium">
        <color rgb="FF9A5B00"/>
      </right>
      <top style="medium">
        <color rgb="FF9A5B00"/>
      </top>
      <bottom/>
      <diagonal/>
    </border>
    <border>
      <left style="medium">
        <color rgb="FF9A5B00"/>
      </left>
      <right/>
      <top/>
      <bottom/>
      <diagonal/>
    </border>
    <border>
      <left/>
      <right style="medium">
        <color rgb="FF9A5B00"/>
      </right>
      <top/>
      <bottom/>
      <diagonal/>
    </border>
    <border>
      <left style="medium">
        <color rgb="FF9A5B00"/>
      </left>
      <right/>
      <top/>
      <bottom style="medium">
        <color rgb="FF9A5B00"/>
      </bottom>
      <diagonal/>
    </border>
    <border>
      <left/>
      <right/>
      <top/>
      <bottom style="medium">
        <color rgb="FF9A5B00"/>
      </bottom>
      <diagonal/>
    </border>
    <border>
      <left/>
      <right style="medium">
        <color rgb="FF9A5B00"/>
      </right>
      <top/>
      <bottom style="medium">
        <color rgb="FF9A5B00"/>
      </bottom>
      <diagonal/>
    </border>
    <border>
      <left style="thin">
        <color rgb="FFD5DEE9"/>
      </left>
      <right style="thin">
        <color rgb="FFD5DEE9"/>
      </right>
      <top/>
      <bottom style="thin">
        <color rgb="FFD5DEE9"/>
      </bottom>
      <diagonal/>
    </border>
    <border>
      <left style="thin">
        <color rgb="FFD5DEE9"/>
      </left>
      <right style="thin">
        <color rgb="FFD5DEE9"/>
      </right>
      <top style="thin">
        <color rgb="FFD5DEE9"/>
      </top>
      <bottom style="thin">
        <color rgb="FFD5DEE9"/>
      </bottom>
      <diagonal/>
    </border>
    <border>
      <left style="thin">
        <color rgb="FFD5DEE9"/>
      </left>
      <right style="thin">
        <color rgb="FFD5DEE9"/>
      </right>
      <top style="thin">
        <color rgb="FFD5DEE9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4" borderId="1" xfId="0" applyFont="1" applyFill="1" applyBorder="1"/>
    <xf numFmtId="0" fontId="2" fillId="4" borderId="3" xfId="0" applyFont="1" applyFill="1" applyBorder="1"/>
    <xf numFmtId="0" fontId="2" fillId="4" borderId="5" xfId="0" applyFont="1" applyFill="1" applyBorder="1"/>
    <xf numFmtId="0" fontId="3" fillId="4" borderId="2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right"/>
    </xf>
    <xf numFmtId="10" fontId="3" fillId="4" borderId="2" xfId="0" applyNumberFormat="1" applyFont="1" applyFill="1" applyBorder="1" applyAlignment="1">
      <alignment horizontal="right"/>
    </xf>
    <xf numFmtId="10" fontId="3" fillId="4" borderId="4" xfId="0" applyNumberFormat="1" applyFont="1" applyFill="1" applyBorder="1" applyAlignment="1">
      <alignment horizontal="right"/>
    </xf>
    <xf numFmtId="0" fontId="0" fillId="0" borderId="3" xfId="0" applyBorder="1"/>
    <xf numFmtId="0" fontId="0" fillId="0" borderId="5" xfId="0" applyBorder="1"/>
    <xf numFmtId="0" fontId="4" fillId="5" borderId="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1" fontId="0" fillId="0" borderId="4" xfId="0" applyNumberFormat="1" applyBorder="1" applyAlignment="1">
      <alignment horizontal="right"/>
    </xf>
    <xf numFmtId="1" fontId="0" fillId="0" borderId="6" xfId="0" applyNumberFormat="1" applyBorder="1" applyAlignment="1">
      <alignment horizontal="right"/>
    </xf>
    <xf numFmtId="0" fontId="4" fillId="5" borderId="0" xfId="0" applyFont="1" applyFill="1" applyAlignment="1">
      <alignment wrapText="1"/>
    </xf>
    <xf numFmtId="0" fontId="4" fillId="5" borderId="0" xfId="0" applyFont="1" applyFill="1" applyAlignment="1">
      <alignment vertical="center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165" fontId="10" fillId="0" borderId="0" xfId="0" applyNumberFormat="1" applyFont="1" applyAlignment="1">
      <alignment vertical="top" wrapText="1"/>
    </xf>
    <xf numFmtId="166" fontId="10" fillId="0" borderId="0" xfId="0" applyNumberFormat="1" applyFont="1" applyAlignment="1">
      <alignment vertical="top" wrapText="1"/>
    </xf>
    <xf numFmtId="0" fontId="2" fillId="4" borderId="23" xfId="0" applyFont="1" applyFill="1" applyBorder="1"/>
    <xf numFmtId="0" fontId="2" fillId="4" borderId="24" xfId="0" applyFont="1" applyFill="1" applyBorder="1"/>
    <xf numFmtId="0" fontId="2" fillId="4" borderId="25" xfId="0" applyFont="1" applyFill="1" applyBorder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vertical="center" wrapText="1"/>
    </xf>
    <xf numFmtId="0" fontId="6" fillId="7" borderId="16" xfId="0" applyFont="1" applyFill="1" applyBorder="1" applyAlignment="1">
      <alignment vertical="center" wrapText="1"/>
    </xf>
    <xf numFmtId="0" fontId="6" fillId="7" borderId="17" xfId="0" applyFont="1" applyFill="1" applyBorder="1" applyAlignment="1">
      <alignment vertical="center" wrapText="1"/>
    </xf>
    <xf numFmtId="0" fontId="6" fillId="7" borderId="18" xfId="0" applyFont="1" applyFill="1" applyBorder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7" borderId="19" xfId="0" applyFont="1" applyFill="1" applyBorder="1" applyAlignment="1">
      <alignment vertical="center" wrapText="1"/>
    </xf>
    <xf numFmtId="0" fontId="6" fillId="7" borderId="20" xfId="0" applyFont="1" applyFill="1" applyBorder="1" applyAlignment="1">
      <alignment vertical="center" wrapText="1"/>
    </xf>
    <xf numFmtId="0" fontId="6" fillId="7" borderId="21" xfId="0" applyFont="1" applyFill="1" applyBorder="1" applyAlignment="1">
      <alignment vertical="center" wrapText="1"/>
    </xf>
    <xf numFmtId="0" fontId="6" fillId="7" borderId="22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0" fillId="0" borderId="23" xfId="0" applyBorder="1" applyAlignment="1">
      <alignment wrapText="1"/>
    </xf>
    <xf numFmtId="166" fontId="0" fillId="0" borderId="23" xfId="0" applyNumberFormat="1" applyBorder="1" applyAlignment="1">
      <alignment wrapText="1"/>
    </xf>
    <xf numFmtId="166" fontId="0" fillId="0" borderId="2" xfId="0" applyNumberFormat="1" applyBorder="1" applyAlignment="1">
      <alignment wrapText="1"/>
    </xf>
    <xf numFmtId="0" fontId="0" fillId="0" borderId="24" xfId="0" applyBorder="1" applyAlignment="1">
      <alignment wrapText="1"/>
    </xf>
    <xf numFmtId="166" fontId="0" fillId="0" borderId="24" xfId="0" applyNumberFormat="1" applyBorder="1" applyAlignment="1">
      <alignment wrapText="1"/>
    </xf>
    <xf numFmtId="166" fontId="0" fillId="0" borderId="4" xfId="0" applyNumberForma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6" xfId="0" applyBorder="1" applyAlignment="1">
      <alignment wrapText="1"/>
    </xf>
    <xf numFmtId="0" fontId="12" fillId="2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</cellXfs>
  <cellStyles count="1">
    <cellStyle name="Normal" xfId="0" builtinId="0"/>
  </cellStyles>
  <dxfs count="5">
    <dxf>
      <font>
        <b/>
        <color rgb="FF9A5B00"/>
      </font>
      <fill>
        <patternFill patternType="solid">
          <bgColor rgb="FFFFF4D6"/>
        </patternFill>
      </fill>
    </dxf>
    <dxf>
      <font>
        <b/>
        <color rgb="FF1F7A4D"/>
      </font>
      <fill>
        <patternFill patternType="solid">
          <bgColor rgb="FFDCFCE7"/>
        </patternFill>
      </fill>
    </dxf>
    <dxf>
      <font>
        <b/>
        <color rgb="FFA61B29"/>
      </font>
      <fill>
        <patternFill patternType="solid">
          <bgColor rgb="FFFFE3E7"/>
        </patternFill>
      </fill>
    </dxf>
    <dxf>
      <font>
        <b/>
        <color rgb="FFA61B29"/>
      </font>
      <fill>
        <patternFill patternType="solid">
          <bgColor rgb="FFFFE3E7"/>
        </patternFill>
      </fill>
    </dxf>
    <dxf>
      <font>
        <b/>
        <color rgb="FF1F7A4D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PilotTestCases" displayName="PayPilotTestCases" ref="A4:M60" totalsRowShown="0">
  <tableColumns count="13">
    <tableColumn id="1" xr3:uid="{00000000-0010-0000-0000-000001000000}" name="Test ID"/>
    <tableColumn id="2" xr3:uid="{00000000-0010-0000-0000-000002000000}" name="Category"/>
    <tableColumn id="3" xr3:uid="{00000000-0010-0000-0000-000003000000}" name="Test Case"/>
    <tableColumn id="4" xr3:uid="{00000000-0010-0000-0000-000004000000}" name="Level"/>
    <tableColumn id="5" xr3:uid="{00000000-0010-0000-0000-000005000000}" name="Expected Result"/>
    <tableColumn id="6" xr3:uid="{00000000-0010-0000-0000-000006000000}" name="Status"/>
    <tableColumn id="7" xr3:uid="{00000000-0010-0000-0000-000007000000}" name="Evidence ID"/>
    <tableColumn id="8" xr3:uid="{00000000-0010-0000-0000-000008000000}" name="Observed Evidence"/>
    <tableColumn id="9" xr3:uid="{00000000-0010-0000-0000-000009000000}" name="Duration (ms)"/>
    <tableColumn id="10" xr3:uid="{00000000-0010-0000-0000-00000A000000}" name="Source File"/>
    <tableColumn id="11" xr3:uid="{00000000-0010-0000-0000-00000B000000}" name="Execution Run"/>
    <tableColumn id="12" xr3:uid="{00000000-0010-0000-0000-00000C000000}" name="Evidence Time"/>
    <tableColumn id="13" xr3:uid="{00000000-0010-0000-0000-00000D000000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yPilotExecutionEvidence" displayName="PayPilotExecutionEvidence" ref="A13:H69" totalsRowShown="0">
  <tableColumns count="8">
    <tableColumn id="1" xr3:uid="{00000000-0010-0000-0100-000001000000}" name="Evidence ID"/>
    <tableColumn id="2" xr3:uid="{00000000-0010-0000-0100-000002000000}" name="Test ID"/>
    <tableColumn id="3" xr3:uid="{00000000-0010-0000-0100-000003000000}" name="TAP Ordinal"/>
    <tableColumn id="4" xr3:uid="{00000000-0010-0000-0100-000004000000}" name="Captured Assertion"/>
    <tableColumn id="5" xr3:uid="{00000000-0010-0000-0100-000005000000}" name="Status"/>
    <tableColumn id="6" xr3:uid="{00000000-0010-0000-0100-000006000000}" name="Duration (ms)"/>
    <tableColumn id="7" xr3:uid="{00000000-0010-0000-0100-000007000000}" name="Source File"/>
    <tableColumn id="8" xr3:uid="{00000000-0010-0000-0100-000008000000}" name="Execution Ru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ionAcceptanceGaps" displayName="ProductionAcceptanceGaps" ref="A4:E18" totalsRowShown="0">
  <tableColumns count="5">
    <tableColumn id="1" xr3:uid="{00000000-0010-0000-0200-000001000000}" name="Gap ID"/>
    <tableColumn id="2" xr3:uid="{00000000-0010-0000-0200-000002000000}" name="Area"/>
    <tableColumn id="3" xr3:uid="{00000000-0010-0000-0200-000003000000}" name="Required Test"/>
    <tableColumn id="4" xr3:uid="{00000000-0010-0000-0200-000004000000}" name="Status"/>
    <tableColumn id="5" xr3:uid="{00000000-0010-0000-0200-000005000000}" name="Exit Evide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workbookViewId="0">
      <selection sqref="A1:H2"/>
    </sheetView>
  </sheetViews>
  <sheetFormatPr defaultRowHeight="14.5" x14ac:dyDescent="0.35"/>
  <cols>
    <col min="1" max="1" width="26" customWidth="1"/>
    <col min="2" max="2" width="10" customWidth="1"/>
    <col min="3" max="3" width="4" customWidth="1"/>
    <col min="4" max="4" width="19" customWidth="1"/>
    <col min="5" max="8" width="14" customWidth="1"/>
  </cols>
  <sheetData>
    <row r="1" spans="1:8" ht="24" customHeight="1" x14ac:dyDescent="0.35">
      <c r="A1" s="25" t="s">
        <v>0</v>
      </c>
      <c r="B1" s="25"/>
      <c r="C1" s="25"/>
      <c r="D1" s="25"/>
      <c r="E1" s="25"/>
      <c r="F1" s="25"/>
      <c r="G1" s="25"/>
      <c r="H1" s="25"/>
    </row>
    <row r="2" spans="1:8" ht="24" customHeight="1" x14ac:dyDescent="0.35">
      <c r="A2" s="25"/>
      <c r="B2" s="25"/>
      <c r="C2" s="25"/>
      <c r="D2" s="25"/>
      <c r="E2" s="25"/>
      <c r="F2" s="25"/>
      <c r="G2" s="25"/>
      <c r="H2" s="25"/>
    </row>
    <row r="3" spans="1:8" ht="24" customHeight="1" x14ac:dyDescent="0.35">
      <c r="A3" s="26" t="s">
        <v>1</v>
      </c>
      <c r="B3" s="26"/>
      <c r="C3" s="26"/>
      <c r="D3" s="26"/>
      <c r="E3" s="26"/>
      <c r="F3" s="26"/>
      <c r="G3" s="26"/>
      <c r="H3" s="26"/>
    </row>
    <row r="5" spans="1:8" ht="25" customHeight="1" x14ac:dyDescent="0.45">
      <c r="A5" s="1" t="s">
        <v>2</v>
      </c>
      <c r="B5" s="4">
        <f>COUNTA('Test Cases'!$A$5:$A$104)</f>
        <v>56</v>
      </c>
      <c r="D5" s="1" t="s">
        <v>3</v>
      </c>
      <c r="E5" s="8">
        <v>0.91239999999999999</v>
      </c>
    </row>
    <row r="6" spans="1:8" ht="25" customHeight="1" x14ac:dyDescent="0.45">
      <c r="A6" s="2" t="s">
        <v>4</v>
      </c>
      <c r="B6" s="5">
        <f>COUNTIF('Test Cases'!$F$5:$F$104,"Passed")</f>
        <v>56</v>
      </c>
      <c r="D6" s="2" t="s">
        <v>5</v>
      </c>
      <c r="E6" s="9">
        <v>0.78620000000000001</v>
      </c>
    </row>
    <row r="7" spans="1:8" ht="25" customHeight="1" x14ac:dyDescent="0.45">
      <c r="A7" s="2" t="s">
        <v>6</v>
      </c>
      <c r="B7" s="5">
        <f>COUNTIF('Test Cases'!$F$5:$F$104,"Failed")</f>
        <v>0</v>
      </c>
      <c r="D7" s="2" t="s">
        <v>7</v>
      </c>
      <c r="E7" s="9">
        <v>0.92059999999999997</v>
      </c>
    </row>
    <row r="8" spans="1:8" ht="25" customHeight="1" x14ac:dyDescent="0.45">
      <c r="A8" s="2" t="s">
        <v>8</v>
      </c>
      <c r="B8" s="7">
        <f>IF(B5=0,0,B6/B5)</f>
        <v>1</v>
      </c>
      <c r="D8" s="2" t="s">
        <v>9</v>
      </c>
      <c r="E8" s="5">
        <v>36</v>
      </c>
    </row>
    <row r="9" spans="1:8" ht="25" customHeight="1" x14ac:dyDescent="0.45">
      <c r="A9" s="3" t="s">
        <v>10</v>
      </c>
      <c r="B9" s="6">
        <v>0</v>
      </c>
      <c r="D9" s="3" t="s">
        <v>11</v>
      </c>
      <c r="E9" s="6">
        <v>20</v>
      </c>
    </row>
    <row r="11" spans="1:8" ht="23" customHeight="1" x14ac:dyDescent="0.35">
      <c r="A11" s="12" t="s">
        <v>12</v>
      </c>
      <c r="B11" s="13" t="s">
        <v>13</v>
      </c>
      <c r="D11" s="27" t="s">
        <v>14</v>
      </c>
      <c r="E11" s="28"/>
      <c r="F11" s="28"/>
      <c r="G11" s="28"/>
      <c r="H11" s="29"/>
    </row>
    <row r="12" spans="1:8" ht="23" customHeight="1" x14ac:dyDescent="0.35">
      <c r="A12" s="10" t="s">
        <v>15</v>
      </c>
      <c r="B12" s="14">
        <f>COUNTIFS('Test Cases'!$B$5:$B$104,A12,'Test Cases'!$F$5:$F$104,"Passed")</f>
        <v>6</v>
      </c>
      <c r="D12" s="30"/>
      <c r="E12" s="31"/>
      <c r="F12" s="31"/>
      <c r="G12" s="31"/>
      <c r="H12" s="32"/>
    </row>
    <row r="13" spans="1:8" ht="23" customHeight="1" x14ac:dyDescent="0.35">
      <c r="A13" s="10" t="s">
        <v>16</v>
      </c>
      <c r="B13" s="14">
        <f>COUNTIFS('Test Cases'!$B$5:$B$104,A13,'Test Cases'!$F$5:$F$104,"Passed")</f>
        <v>3</v>
      </c>
      <c r="D13" s="33"/>
      <c r="E13" s="34"/>
      <c r="F13" s="34"/>
      <c r="G13" s="34"/>
      <c r="H13" s="35"/>
    </row>
    <row r="14" spans="1:8" ht="23" customHeight="1" x14ac:dyDescent="0.35">
      <c r="A14" s="10" t="s">
        <v>17</v>
      </c>
      <c r="B14" s="14">
        <f>COUNTIFS('Test Cases'!$B$5:$B$104,A14,'Test Cases'!$F$5:$F$104,"Passed")</f>
        <v>6</v>
      </c>
    </row>
    <row r="15" spans="1:8" ht="23" customHeight="1" x14ac:dyDescent="0.35">
      <c r="A15" s="10" t="s">
        <v>18</v>
      </c>
      <c r="B15" s="14">
        <f>COUNTIFS('Test Cases'!$B$5:$B$104,A15,'Test Cases'!$F$5:$F$104,"Passed")</f>
        <v>4</v>
      </c>
      <c r="D15" s="36" t="s">
        <v>19</v>
      </c>
      <c r="E15" s="37"/>
      <c r="F15" s="37"/>
      <c r="G15" s="37"/>
      <c r="H15" s="38"/>
    </row>
    <row r="16" spans="1:8" ht="23" customHeight="1" x14ac:dyDescent="0.35">
      <c r="A16" s="10" t="s">
        <v>20</v>
      </c>
      <c r="B16" s="14">
        <f>COUNTIFS('Test Cases'!$B$5:$B$104,A16,'Test Cases'!$F$5:$F$104,"Passed")</f>
        <v>2</v>
      </c>
      <c r="D16" s="39"/>
      <c r="E16" s="40"/>
      <c r="F16" s="40"/>
      <c r="G16" s="40"/>
      <c r="H16" s="41"/>
    </row>
    <row r="17" spans="1:8" ht="23" customHeight="1" x14ac:dyDescent="0.35">
      <c r="A17" s="10" t="s">
        <v>21</v>
      </c>
      <c r="B17" s="14">
        <f>COUNTIFS('Test Cases'!$B$5:$B$104,A17,'Test Cases'!$F$5:$F$104,"Passed")</f>
        <v>3</v>
      </c>
      <c r="D17" s="39"/>
      <c r="E17" s="40"/>
      <c r="F17" s="40"/>
      <c r="G17" s="40"/>
      <c r="H17" s="41"/>
    </row>
    <row r="18" spans="1:8" ht="23" customHeight="1" x14ac:dyDescent="0.35">
      <c r="A18" s="10" t="s">
        <v>22</v>
      </c>
      <c r="B18" s="14">
        <f>COUNTIFS('Test Cases'!$B$5:$B$104,A18,'Test Cases'!$F$5:$F$104,"Passed")</f>
        <v>5</v>
      </c>
      <c r="D18" s="42"/>
      <c r="E18" s="43"/>
      <c r="F18" s="43"/>
      <c r="G18" s="43"/>
      <c r="H18" s="44"/>
    </row>
    <row r="19" spans="1:8" ht="23" customHeight="1" x14ac:dyDescent="0.35">
      <c r="A19" s="10" t="s">
        <v>23</v>
      </c>
      <c r="B19" s="14">
        <f>COUNTIFS('Test Cases'!$B$5:$B$104,A19,'Test Cases'!$F$5:$F$104,"Passed")</f>
        <v>2</v>
      </c>
    </row>
    <row r="20" spans="1:8" ht="23" customHeight="1" x14ac:dyDescent="0.35">
      <c r="A20" s="10" t="s">
        <v>24</v>
      </c>
      <c r="B20" s="14">
        <f>COUNTIFS('Test Cases'!$B$5:$B$104,A20,'Test Cases'!$F$5:$F$104,"Passed")</f>
        <v>5</v>
      </c>
    </row>
    <row r="21" spans="1:8" ht="23" customHeight="1" x14ac:dyDescent="0.35">
      <c r="A21" s="10" t="s">
        <v>25</v>
      </c>
      <c r="B21" s="14">
        <f>COUNTIFS('Test Cases'!$B$5:$B$104,A21,'Test Cases'!$F$5:$F$104,"Passed")</f>
        <v>8</v>
      </c>
    </row>
    <row r="22" spans="1:8" ht="23" customHeight="1" x14ac:dyDescent="0.35">
      <c r="A22" s="11" t="s">
        <v>26</v>
      </c>
      <c r="B22" s="15">
        <f>COUNTIFS('Test Cases'!$B$5:$B$104,A22,'Test Cases'!$F$5:$F$104,"Passed")</f>
        <v>12</v>
      </c>
    </row>
    <row r="23" spans="1:8" ht="23" customHeight="1" x14ac:dyDescent="0.35"/>
    <row r="24" spans="1:8" ht="23" customHeight="1" x14ac:dyDescent="0.35">
      <c r="A24" s="45" t="s">
        <v>27</v>
      </c>
      <c r="B24" s="45"/>
      <c r="C24" s="45"/>
      <c r="D24" s="45"/>
      <c r="E24" s="45"/>
      <c r="F24" s="45"/>
      <c r="G24" s="45"/>
      <c r="H24" s="45"/>
    </row>
    <row r="25" spans="1:8" ht="23" customHeight="1" x14ac:dyDescent="0.35">
      <c r="A25" s="46" t="s">
        <v>28</v>
      </c>
      <c r="B25" s="46"/>
      <c r="C25" s="46"/>
      <c r="D25" s="46"/>
      <c r="E25" s="46"/>
      <c r="F25" s="46"/>
      <c r="G25" s="46"/>
      <c r="H25" s="46"/>
    </row>
    <row r="26" spans="1:8" ht="23" customHeight="1" x14ac:dyDescent="0.35">
      <c r="A26" s="46"/>
      <c r="B26" s="46"/>
      <c r="C26" s="46"/>
      <c r="D26" s="46"/>
      <c r="E26" s="46"/>
      <c r="F26" s="46"/>
      <c r="G26" s="46"/>
      <c r="H26" s="46"/>
    </row>
  </sheetData>
  <mergeCells count="6">
    <mergeCell ref="A25:H26"/>
    <mergeCell ref="A1:H2"/>
    <mergeCell ref="A3:H3"/>
    <mergeCell ref="D11:H13"/>
    <mergeCell ref="D15:H18"/>
    <mergeCell ref="A24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0"/>
  <sheetViews>
    <sheetView showGridLines="0" topLeftCell="A4" workbookViewId="0">
      <selection sqref="A1:M2"/>
    </sheetView>
  </sheetViews>
  <sheetFormatPr defaultRowHeight="14.5" x14ac:dyDescent="0.35"/>
  <cols>
    <col min="1" max="1" width="11" customWidth="1"/>
    <col min="2" max="2" width="22" customWidth="1"/>
    <col min="3" max="3" width="46" customWidth="1"/>
    <col min="4" max="4" width="14" customWidth="1"/>
    <col min="5" max="5" width="40" customWidth="1"/>
    <col min="6" max="6" width="11" customWidth="1"/>
    <col min="7" max="7" width="12" customWidth="1"/>
    <col min="8" max="8" width="48" customWidth="1"/>
    <col min="9" max="9" width="13" customWidth="1"/>
    <col min="10" max="10" width="32" customWidth="1"/>
    <col min="11" max="11" width="23" customWidth="1"/>
    <col min="12" max="12" width="20" customWidth="1"/>
    <col min="13" max="13" width="12" customWidth="1"/>
  </cols>
  <sheetData>
    <row r="1" spans="1:13" ht="25" customHeight="1" x14ac:dyDescent="0.35">
      <c r="A1" s="47" t="s">
        <v>29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ht="25" customHeight="1" x14ac:dyDescent="0.3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25" customHeight="1" x14ac:dyDescent="0.35">
      <c r="A3" s="26" t="s">
        <v>30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25" customHeight="1" x14ac:dyDescent="0.35">
      <c r="A4" s="17" t="s">
        <v>31</v>
      </c>
      <c r="B4" s="17" t="s">
        <v>12</v>
      </c>
      <c r="C4" s="17" t="s">
        <v>32</v>
      </c>
      <c r="D4" s="17" t="s">
        <v>33</v>
      </c>
      <c r="E4" s="17" t="s">
        <v>34</v>
      </c>
      <c r="F4" s="17" t="s">
        <v>35</v>
      </c>
      <c r="G4" s="17" t="s">
        <v>36</v>
      </c>
      <c r="H4" s="17" t="s">
        <v>37</v>
      </c>
      <c r="I4" s="17" t="s">
        <v>38</v>
      </c>
      <c r="J4" s="17" t="s">
        <v>39</v>
      </c>
      <c r="K4" s="17" t="s">
        <v>40</v>
      </c>
      <c r="L4" s="17" t="s">
        <v>41</v>
      </c>
      <c r="M4" s="17" t="s">
        <v>42</v>
      </c>
    </row>
    <row r="5" spans="1:13" ht="48" customHeight="1" x14ac:dyDescent="0.35">
      <c r="A5" s="18" t="s">
        <v>43</v>
      </c>
      <c r="B5" s="18" t="s">
        <v>15</v>
      </c>
      <c r="C5" s="19" t="s">
        <v>44</v>
      </c>
      <c r="D5" s="19" t="s">
        <v>45</v>
      </c>
      <c r="E5" s="19" t="s">
        <v>46</v>
      </c>
      <c r="F5" s="18" t="s">
        <v>4</v>
      </c>
      <c r="G5" s="19" t="s">
        <v>47</v>
      </c>
      <c r="H5" s="19" t="s">
        <v>48</v>
      </c>
      <c r="I5" s="20">
        <v>1.9489000000000001</v>
      </c>
      <c r="J5" s="19" t="s">
        <v>49</v>
      </c>
      <c r="K5" s="19" t="s">
        <v>50</v>
      </c>
      <c r="L5" s="21">
        <v>46251.556347199075</v>
      </c>
      <c r="M5" s="19" t="s">
        <v>51</v>
      </c>
    </row>
    <row r="6" spans="1:13" ht="48" customHeight="1" x14ac:dyDescent="0.35">
      <c r="A6" s="18" t="s">
        <v>52</v>
      </c>
      <c r="B6" s="18" t="s">
        <v>15</v>
      </c>
      <c r="C6" s="19" t="s">
        <v>53</v>
      </c>
      <c r="D6" s="19" t="s">
        <v>45</v>
      </c>
      <c r="E6" s="19" t="s">
        <v>46</v>
      </c>
      <c r="F6" s="18" t="s">
        <v>4</v>
      </c>
      <c r="G6" s="19" t="s">
        <v>54</v>
      </c>
      <c r="H6" s="19" t="s">
        <v>55</v>
      </c>
      <c r="I6" s="20">
        <v>0.69379999999999997</v>
      </c>
      <c r="J6" s="19" t="s">
        <v>49</v>
      </c>
      <c r="K6" s="19" t="s">
        <v>50</v>
      </c>
      <c r="L6" s="21">
        <v>46251.556347199075</v>
      </c>
      <c r="M6" s="19" t="s">
        <v>51</v>
      </c>
    </row>
    <row r="7" spans="1:13" ht="48" customHeight="1" x14ac:dyDescent="0.35">
      <c r="A7" s="18" t="s">
        <v>56</v>
      </c>
      <c r="B7" s="18" t="s">
        <v>15</v>
      </c>
      <c r="C7" s="19" t="s">
        <v>57</v>
      </c>
      <c r="D7" s="19" t="s">
        <v>58</v>
      </c>
      <c r="E7" s="19" t="s">
        <v>59</v>
      </c>
      <c r="F7" s="18" t="s">
        <v>4</v>
      </c>
      <c r="G7" s="19" t="s">
        <v>60</v>
      </c>
      <c r="H7" s="19" t="s">
        <v>61</v>
      </c>
      <c r="I7" s="20">
        <v>0.78239999999999998</v>
      </c>
      <c r="J7" s="19" t="s">
        <v>49</v>
      </c>
      <c r="K7" s="19" t="s">
        <v>50</v>
      </c>
      <c r="L7" s="21">
        <v>46251.556347199075</v>
      </c>
      <c r="M7" s="19" t="s">
        <v>51</v>
      </c>
    </row>
    <row r="8" spans="1:13" ht="48" customHeight="1" x14ac:dyDescent="0.35">
      <c r="A8" s="18" t="s">
        <v>62</v>
      </c>
      <c r="B8" s="18" t="s">
        <v>15</v>
      </c>
      <c r="C8" s="19" t="s">
        <v>63</v>
      </c>
      <c r="D8" s="19" t="s">
        <v>45</v>
      </c>
      <c r="E8" s="19" t="s">
        <v>46</v>
      </c>
      <c r="F8" s="18" t="s">
        <v>4</v>
      </c>
      <c r="G8" s="19" t="s">
        <v>64</v>
      </c>
      <c r="H8" s="19" t="s">
        <v>65</v>
      </c>
      <c r="I8" s="20">
        <v>0.31480000000000002</v>
      </c>
      <c r="J8" s="19" t="s">
        <v>49</v>
      </c>
      <c r="K8" s="19" t="s">
        <v>50</v>
      </c>
      <c r="L8" s="21">
        <v>46251.556347199075</v>
      </c>
      <c r="M8" s="19" t="s">
        <v>51</v>
      </c>
    </row>
    <row r="9" spans="1:13" ht="48" customHeight="1" x14ac:dyDescent="0.35">
      <c r="A9" s="18" t="s">
        <v>66</v>
      </c>
      <c r="B9" s="18" t="s">
        <v>15</v>
      </c>
      <c r="C9" s="19" t="s">
        <v>67</v>
      </c>
      <c r="D9" s="19" t="s">
        <v>68</v>
      </c>
      <c r="E9" s="19" t="s">
        <v>59</v>
      </c>
      <c r="F9" s="18" t="s">
        <v>4</v>
      </c>
      <c r="G9" s="19" t="s">
        <v>69</v>
      </c>
      <c r="H9" s="19" t="s">
        <v>70</v>
      </c>
      <c r="I9" s="20">
        <v>2.0813999999999999</v>
      </c>
      <c r="J9" s="19" t="s">
        <v>71</v>
      </c>
      <c r="K9" s="19" t="s">
        <v>50</v>
      </c>
      <c r="L9" s="21">
        <v>46251.556347199075</v>
      </c>
      <c r="M9" s="19" t="s">
        <v>72</v>
      </c>
    </row>
    <row r="10" spans="1:13" ht="48" customHeight="1" x14ac:dyDescent="0.35">
      <c r="A10" s="18" t="s">
        <v>73</v>
      </c>
      <c r="B10" s="18" t="s">
        <v>15</v>
      </c>
      <c r="C10" s="19" t="s">
        <v>74</v>
      </c>
      <c r="D10" s="19" t="s">
        <v>68</v>
      </c>
      <c r="E10" s="19" t="s">
        <v>46</v>
      </c>
      <c r="F10" s="18" t="s">
        <v>4</v>
      </c>
      <c r="G10" s="19" t="s">
        <v>75</v>
      </c>
      <c r="H10" s="19" t="s">
        <v>76</v>
      </c>
      <c r="I10" s="20">
        <v>7.7313999999999998</v>
      </c>
      <c r="J10" s="19" t="s">
        <v>71</v>
      </c>
      <c r="K10" s="19" t="s">
        <v>50</v>
      </c>
      <c r="L10" s="21">
        <v>46251.556347199075</v>
      </c>
      <c r="M10" s="19" t="s">
        <v>72</v>
      </c>
    </row>
    <row r="11" spans="1:13" ht="48" customHeight="1" x14ac:dyDescent="0.35">
      <c r="A11" s="18" t="s">
        <v>77</v>
      </c>
      <c r="B11" s="18" t="s">
        <v>16</v>
      </c>
      <c r="C11" s="19" t="s">
        <v>78</v>
      </c>
      <c r="D11" s="19" t="s">
        <v>45</v>
      </c>
      <c r="E11" s="19" t="s">
        <v>46</v>
      </c>
      <c r="F11" s="18" t="s">
        <v>4</v>
      </c>
      <c r="G11" s="19" t="s">
        <v>79</v>
      </c>
      <c r="H11" s="19" t="s">
        <v>80</v>
      </c>
      <c r="I11" s="20">
        <v>1.7579</v>
      </c>
      <c r="J11" s="19" t="s">
        <v>81</v>
      </c>
      <c r="K11" s="19" t="s">
        <v>50</v>
      </c>
      <c r="L11" s="21">
        <v>46251.556347199075</v>
      </c>
      <c r="M11" s="19" t="s">
        <v>51</v>
      </c>
    </row>
    <row r="12" spans="1:13" ht="48" customHeight="1" x14ac:dyDescent="0.35">
      <c r="A12" s="18" t="s">
        <v>82</v>
      </c>
      <c r="B12" s="18" t="s">
        <v>16</v>
      </c>
      <c r="C12" s="19" t="s">
        <v>83</v>
      </c>
      <c r="D12" s="19" t="s">
        <v>84</v>
      </c>
      <c r="E12" s="19" t="s">
        <v>59</v>
      </c>
      <c r="F12" s="18" t="s">
        <v>4</v>
      </c>
      <c r="G12" s="19" t="s">
        <v>85</v>
      </c>
      <c r="H12" s="19" t="s">
        <v>86</v>
      </c>
      <c r="I12" s="20">
        <v>0.62960000000000005</v>
      </c>
      <c r="J12" s="19" t="s">
        <v>81</v>
      </c>
      <c r="K12" s="19" t="s">
        <v>50</v>
      </c>
      <c r="L12" s="21">
        <v>46251.556347199075</v>
      </c>
      <c r="M12" s="19" t="s">
        <v>72</v>
      </c>
    </row>
    <row r="13" spans="1:13" ht="48" customHeight="1" x14ac:dyDescent="0.35">
      <c r="A13" s="18" t="s">
        <v>87</v>
      </c>
      <c r="B13" s="18" t="s">
        <v>16</v>
      </c>
      <c r="C13" s="19" t="s">
        <v>88</v>
      </c>
      <c r="D13" s="19" t="s">
        <v>45</v>
      </c>
      <c r="E13" s="19" t="s">
        <v>46</v>
      </c>
      <c r="F13" s="18" t="s">
        <v>4</v>
      </c>
      <c r="G13" s="19" t="s">
        <v>89</v>
      </c>
      <c r="H13" s="19" t="s">
        <v>90</v>
      </c>
      <c r="I13" s="20">
        <v>0.69730000000000003</v>
      </c>
      <c r="J13" s="19" t="s">
        <v>81</v>
      </c>
      <c r="K13" s="19" t="s">
        <v>50</v>
      </c>
      <c r="L13" s="21">
        <v>46251.556347199075</v>
      </c>
      <c r="M13" s="19" t="s">
        <v>91</v>
      </c>
    </row>
    <row r="14" spans="1:13" ht="48" customHeight="1" x14ac:dyDescent="0.35">
      <c r="A14" s="18" t="s">
        <v>92</v>
      </c>
      <c r="B14" s="18" t="s">
        <v>17</v>
      </c>
      <c r="C14" s="19" t="s">
        <v>93</v>
      </c>
      <c r="D14" s="19" t="s">
        <v>94</v>
      </c>
      <c r="E14" s="19" t="s">
        <v>59</v>
      </c>
      <c r="F14" s="18" t="s">
        <v>4</v>
      </c>
      <c r="G14" s="19" t="s">
        <v>95</v>
      </c>
      <c r="H14" s="19" t="s">
        <v>96</v>
      </c>
      <c r="I14" s="20">
        <v>0.69489999999999996</v>
      </c>
      <c r="J14" s="19" t="s">
        <v>81</v>
      </c>
      <c r="K14" s="19" t="s">
        <v>50</v>
      </c>
      <c r="L14" s="21">
        <v>46251.556347199075</v>
      </c>
      <c r="M14" s="19" t="s">
        <v>72</v>
      </c>
    </row>
    <row r="15" spans="1:13" ht="48" customHeight="1" x14ac:dyDescent="0.35">
      <c r="A15" s="18" t="s">
        <v>97</v>
      </c>
      <c r="B15" s="18" t="s">
        <v>17</v>
      </c>
      <c r="C15" s="19" t="s">
        <v>98</v>
      </c>
      <c r="D15" s="19" t="s">
        <v>45</v>
      </c>
      <c r="E15" s="19" t="s">
        <v>99</v>
      </c>
      <c r="F15" s="18" t="s">
        <v>4</v>
      </c>
      <c r="G15" s="19" t="s">
        <v>100</v>
      </c>
      <c r="H15" s="19" t="s">
        <v>101</v>
      </c>
      <c r="I15" s="20">
        <v>1.2363</v>
      </c>
      <c r="J15" s="19" t="s">
        <v>81</v>
      </c>
      <c r="K15" s="19" t="s">
        <v>50</v>
      </c>
      <c r="L15" s="21">
        <v>46251.556347199075</v>
      </c>
      <c r="M15" s="19" t="s">
        <v>51</v>
      </c>
    </row>
    <row r="16" spans="1:13" ht="48" customHeight="1" x14ac:dyDescent="0.35">
      <c r="A16" s="18" t="s">
        <v>102</v>
      </c>
      <c r="B16" s="18" t="s">
        <v>17</v>
      </c>
      <c r="C16" s="19" t="s">
        <v>103</v>
      </c>
      <c r="D16" s="19" t="s">
        <v>45</v>
      </c>
      <c r="E16" s="19" t="s">
        <v>99</v>
      </c>
      <c r="F16" s="18" t="s">
        <v>4</v>
      </c>
      <c r="G16" s="19" t="s">
        <v>104</v>
      </c>
      <c r="H16" s="19" t="s">
        <v>105</v>
      </c>
      <c r="I16" s="20">
        <v>0.28270000000000001</v>
      </c>
      <c r="J16" s="19" t="s">
        <v>81</v>
      </c>
      <c r="K16" s="19" t="s">
        <v>50</v>
      </c>
      <c r="L16" s="21">
        <v>46251.556347199075</v>
      </c>
      <c r="M16" s="19" t="s">
        <v>72</v>
      </c>
    </row>
    <row r="17" spans="1:13" ht="48" customHeight="1" x14ac:dyDescent="0.35">
      <c r="A17" s="18" t="s">
        <v>106</v>
      </c>
      <c r="B17" s="18" t="s">
        <v>17</v>
      </c>
      <c r="C17" s="19" t="s">
        <v>107</v>
      </c>
      <c r="D17" s="19" t="s">
        <v>108</v>
      </c>
      <c r="E17" s="19" t="s">
        <v>46</v>
      </c>
      <c r="F17" s="18" t="s">
        <v>4</v>
      </c>
      <c r="G17" s="19" t="s">
        <v>109</v>
      </c>
      <c r="H17" s="19" t="s">
        <v>110</v>
      </c>
      <c r="I17" s="20">
        <v>0.29899999999999999</v>
      </c>
      <c r="J17" s="19" t="s">
        <v>81</v>
      </c>
      <c r="K17" s="19" t="s">
        <v>50</v>
      </c>
      <c r="L17" s="21">
        <v>46251.556347199075</v>
      </c>
      <c r="M17" s="19" t="s">
        <v>91</v>
      </c>
    </row>
    <row r="18" spans="1:13" ht="48" customHeight="1" x14ac:dyDescent="0.35">
      <c r="A18" s="18" t="s">
        <v>111</v>
      </c>
      <c r="B18" s="18" t="s">
        <v>18</v>
      </c>
      <c r="C18" s="19" t="s">
        <v>112</v>
      </c>
      <c r="D18" s="19" t="s">
        <v>45</v>
      </c>
      <c r="E18" s="19" t="s">
        <v>113</v>
      </c>
      <c r="F18" s="18" t="s">
        <v>4</v>
      </c>
      <c r="G18" s="19" t="s">
        <v>114</v>
      </c>
      <c r="H18" s="19" t="s">
        <v>115</v>
      </c>
      <c r="I18" s="20">
        <v>0.125</v>
      </c>
      <c r="J18" s="19" t="s">
        <v>81</v>
      </c>
      <c r="K18" s="19" t="s">
        <v>50</v>
      </c>
      <c r="L18" s="21">
        <v>46251.556347199075</v>
      </c>
      <c r="M18" s="19" t="s">
        <v>51</v>
      </c>
    </row>
    <row r="19" spans="1:13" ht="48" customHeight="1" x14ac:dyDescent="0.35">
      <c r="A19" s="18" t="s">
        <v>116</v>
      </c>
      <c r="B19" s="18" t="s">
        <v>18</v>
      </c>
      <c r="C19" s="19" t="s">
        <v>117</v>
      </c>
      <c r="D19" s="19" t="s">
        <v>45</v>
      </c>
      <c r="E19" s="19" t="s">
        <v>113</v>
      </c>
      <c r="F19" s="18" t="s">
        <v>4</v>
      </c>
      <c r="G19" s="19" t="s">
        <v>118</v>
      </c>
      <c r="H19" s="19" t="s">
        <v>119</v>
      </c>
      <c r="I19" s="20">
        <v>0.23119999999999999</v>
      </c>
      <c r="J19" s="19" t="s">
        <v>81</v>
      </c>
      <c r="K19" s="19" t="s">
        <v>50</v>
      </c>
      <c r="L19" s="21">
        <v>46251.556347199075</v>
      </c>
      <c r="M19" s="19" t="s">
        <v>51</v>
      </c>
    </row>
    <row r="20" spans="1:13" ht="48" customHeight="1" x14ac:dyDescent="0.35">
      <c r="A20" s="18" t="s">
        <v>120</v>
      </c>
      <c r="B20" s="18" t="s">
        <v>18</v>
      </c>
      <c r="C20" s="19" t="s">
        <v>121</v>
      </c>
      <c r="D20" s="19" t="s">
        <v>45</v>
      </c>
      <c r="E20" s="19" t="s">
        <v>46</v>
      </c>
      <c r="F20" s="18" t="s">
        <v>4</v>
      </c>
      <c r="G20" s="19" t="s">
        <v>122</v>
      </c>
      <c r="H20" s="19" t="s">
        <v>123</v>
      </c>
      <c r="I20" s="20">
        <v>3.2218</v>
      </c>
      <c r="J20" s="19" t="s">
        <v>81</v>
      </c>
      <c r="K20" s="19" t="s">
        <v>50</v>
      </c>
      <c r="L20" s="21">
        <v>46251.556347199075</v>
      </c>
      <c r="M20" s="19" t="s">
        <v>91</v>
      </c>
    </row>
    <row r="21" spans="1:13" ht="48" customHeight="1" x14ac:dyDescent="0.35">
      <c r="A21" s="18" t="s">
        <v>124</v>
      </c>
      <c r="B21" s="18" t="s">
        <v>20</v>
      </c>
      <c r="C21" s="19" t="s">
        <v>125</v>
      </c>
      <c r="D21" s="19" t="s">
        <v>45</v>
      </c>
      <c r="E21" s="19" t="s">
        <v>46</v>
      </c>
      <c r="F21" s="18" t="s">
        <v>4</v>
      </c>
      <c r="G21" s="19" t="s">
        <v>126</v>
      </c>
      <c r="H21" s="19" t="s">
        <v>127</v>
      </c>
      <c r="I21" s="20">
        <v>20.096900000000002</v>
      </c>
      <c r="J21" s="19" t="s">
        <v>81</v>
      </c>
      <c r="K21" s="19" t="s">
        <v>50</v>
      </c>
      <c r="L21" s="21">
        <v>46251.556347199075</v>
      </c>
      <c r="M21" s="19" t="s">
        <v>51</v>
      </c>
    </row>
    <row r="22" spans="1:13" ht="48" customHeight="1" x14ac:dyDescent="0.35">
      <c r="A22" s="18" t="s">
        <v>128</v>
      </c>
      <c r="B22" s="18" t="s">
        <v>21</v>
      </c>
      <c r="C22" s="19" t="s">
        <v>129</v>
      </c>
      <c r="D22" s="19" t="s">
        <v>45</v>
      </c>
      <c r="E22" s="19" t="s">
        <v>46</v>
      </c>
      <c r="F22" s="18" t="s">
        <v>4</v>
      </c>
      <c r="G22" s="19" t="s">
        <v>130</v>
      </c>
      <c r="H22" s="19" t="s">
        <v>131</v>
      </c>
      <c r="I22" s="20">
        <v>14.8668</v>
      </c>
      <c r="J22" s="19" t="s">
        <v>81</v>
      </c>
      <c r="K22" s="19" t="s">
        <v>50</v>
      </c>
      <c r="L22" s="21">
        <v>46251.556347199075</v>
      </c>
      <c r="M22" s="19" t="s">
        <v>51</v>
      </c>
    </row>
    <row r="23" spans="1:13" ht="48" customHeight="1" x14ac:dyDescent="0.35">
      <c r="A23" s="18" t="s">
        <v>132</v>
      </c>
      <c r="B23" s="18" t="s">
        <v>21</v>
      </c>
      <c r="C23" s="19" t="s">
        <v>133</v>
      </c>
      <c r="D23" s="19" t="s">
        <v>84</v>
      </c>
      <c r="E23" s="19" t="s">
        <v>134</v>
      </c>
      <c r="F23" s="18" t="s">
        <v>4</v>
      </c>
      <c r="G23" s="19" t="s">
        <v>135</v>
      </c>
      <c r="H23" s="19" t="s">
        <v>136</v>
      </c>
      <c r="I23" s="20">
        <v>8.9178999999999995</v>
      </c>
      <c r="J23" s="19" t="s">
        <v>81</v>
      </c>
      <c r="K23" s="19" t="s">
        <v>50</v>
      </c>
      <c r="L23" s="21">
        <v>46251.556347199075</v>
      </c>
      <c r="M23" s="19" t="s">
        <v>72</v>
      </c>
    </row>
    <row r="24" spans="1:13" ht="48" customHeight="1" x14ac:dyDescent="0.35">
      <c r="A24" s="18" t="s">
        <v>137</v>
      </c>
      <c r="B24" s="18" t="s">
        <v>21</v>
      </c>
      <c r="C24" s="19" t="s">
        <v>138</v>
      </c>
      <c r="D24" s="19" t="s">
        <v>58</v>
      </c>
      <c r="E24" s="19" t="s">
        <v>59</v>
      </c>
      <c r="F24" s="18" t="s">
        <v>4</v>
      </c>
      <c r="G24" s="19" t="s">
        <v>139</v>
      </c>
      <c r="H24" s="19" t="s">
        <v>140</v>
      </c>
      <c r="I24" s="20">
        <v>11.391</v>
      </c>
      <c r="J24" s="19" t="s">
        <v>81</v>
      </c>
      <c r="K24" s="19" t="s">
        <v>50</v>
      </c>
      <c r="L24" s="21">
        <v>46251.556347199075</v>
      </c>
      <c r="M24" s="19" t="s">
        <v>51</v>
      </c>
    </row>
    <row r="25" spans="1:13" ht="48" customHeight="1" x14ac:dyDescent="0.35">
      <c r="A25" s="18" t="s">
        <v>141</v>
      </c>
      <c r="B25" s="18" t="s">
        <v>22</v>
      </c>
      <c r="C25" s="19" t="s">
        <v>142</v>
      </c>
      <c r="D25" s="19" t="s">
        <v>94</v>
      </c>
      <c r="E25" s="19" t="s">
        <v>59</v>
      </c>
      <c r="F25" s="18" t="s">
        <v>4</v>
      </c>
      <c r="G25" s="19" t="s">
        <v>143</v>
      </c>
      <c r="H25" s="19" t="s">
        <v>144</v>
      </c>
      <c r="I25" s="20">
        <v>0.4496</v>
      </c>
      <c r="J25" s="19" t="s">
        <v>81</v>
      </c>
      <c r="K25" s="19" t="s">
        <v>50</v>
      </c>
      <c r="L25" s="21">
        <v>46251.556347199075</v>
      </c>
      <c r="M25" s="19" t="s">
        <v>51</v>
      </c>
    </row>
    <row r="26" spans="1:13" ht="48" customHeight="1" x14ac:dyDescent="0.35">
      <c r="A26" s="18" t="s">
        <v>145</v>
      </c>
      <c r="B26" s="18" t="s">
        <v>22</v>
      </c>
      <c r="C26" s="19" t="s">
        <v>146</v>
      </c>
      <c r="D26" s="19" t="s">
        <v>84</v>
      </c>
      <c r="E26" s="19" t="s">
        <v>59</v>
      </c>
      <c r="F26" s="18" t="s">
        <v>4</v>
      </c>
      <c r="G26" s="19" t="s">
        <v>147</v>
      </c>
      <c r="H26" s="19" t="s">
        <v>148</v>
      </c>
      <c r="I26" s="20">
        <v>0.42120000000000002</v>
      </c>
      <c r="J26" s="19" t="s">
        <v>81</v>
      </c>
      <c r="K26" s="19" t="s">
        <v>50</v>
      </c>
      <c r="L26" s="21">
        <v>46251.556347199075</v>
      </c>
      <c r="M26" s="19" t="s">
        <v>51</v>
      </c>
    </row>
    <row r="27" spans="1:13" ht="48" customHeight="1" x14ac:dyDescent="0.35">
      <c r="A27" s="18" t="s">
        <v>149</v>
      </c>
      <c r="B27" s="18" t="s">
        <v>23</v>
      </c>
      <c r="C27" s="19" t="s">
        <v>150</v>
      </c>
      <c r="D27" s="19" t="s">
        <v>94</v>
      </c>
      <c r="E27" s="19" t="s">
        <v>46</v>
      </c>
      <c r="F27" s="18" t="s">
        <v>4</v>
      </c>
      <c r="G27" s="19" t="s">
        <v>151</v>
      </c>
      <c r="H27" s="19" t="s">
        <v>152</v>
      </c>
      <c r="I27" s="20">
        <v>0.62160000000000004</v>
      </c>
      <c r="J27" s="19" t="s">
        <v>81</v>
      </c>
      <c r="K27" s="19" t="s">
        <v>50</v>
      </c>
      <c r="L27" s="21">
        <v>46251.556347199075</v>
      </c>
      <c r="M27" s="19" t="s">
        <v>51</v>
      </c>
    </row>
    <row r="28" spans="1:13" ht="48" customHeight="1" x14ac:dyDescent="0.35">
      <c r="A28" s="18" t="s">
        <v>153</v>
      </c>
      <c r="B28" s="18" t="s">
        <v>23</v>
      </c>
      <c r="C28" s="19" t="s">
        <v>154</v>
      </c>
      <c r="D28" s="19" t="s">
        <v>108</v>
      </c>
      <c r="E28" s="19" t="s">
        <v>46</v>
      </c>
      <c r="F28" s="18" t="s">
        <v>4</v>
      </c>
      <c r="G28" s="19" t="s">
        <v>155</v>
      </c>
      <c r="H28" s="19" t="s">
        <v>156</v>
      </c>
      <c r="I28" s="20">
        <v>0.35809999999999997</v>
      </c>
      <c r="J28" s="19" t="s">
        <v>81</v>
      </c>
      <c r="K28" s="19" t="s">
        <v>50</v>
      </c>
      <c r="L28" s="21">
        <v>46251.556347199075</v>
      </c>
      <c r="M28" s="19" t="s">
        <v>91</v>
      </c>
    </row>
    <row r="29" spans="1:13" ht="48" customHeight="1" x14ac:dyDescent="0.35">
      <c r="A29" s="18" t="s">
        <v>157</v>
      </c>
      <c r="B29" s="18" t="s">
        <v>24</v>
      </c>
      <c r="C29" s="19" t="s">
        <v>158</v>
      </c>
      <c r="D29" s="19" t="s">
        <v>94</v>
      </c>
      <c r="E29" s="19" t="s">
        <v>59</v>
      </c>
      <c r="F29" s="18" t="s">
        <v>4</v>
      </c>
      <c r="G29" s="19" t="s">
        <v>159</v>
      </c>
      <c r="H29" s="19" t="s">
        <v>160</v>
      </c>
      <c r="I29" s="20">
        <v>0.32690000000000002</v>
      </c>
      <c r="J29" s="19" t="s">
        <v>81</v>
      </c>
      <c r="K29" s="19" t="s">
        <v>50</v>
      </c>
      <c r="L29" s="21">
        <v>46251.556347199075</v>
      </c>
      <c r="M29" s="19" t="s">
        <v>72</v>
      </c>
    </row>
    <row r="30" spans="1:13" ht="48" customHeight="1" x14ac:dyDescent="0.35">
      <c r="A30" s="18" t="s">
        <v>161</v>
      </c>
      <c r="B30" s="18" t="s">
        <v>24</v>
      </c>
      <c r="C30" s="19" t="s">
        <v>162</v>
      </c>
      <c r="D30" s="19" t="s">
        <v>45</v>
      </c>
      <c r="E30" s="19" t="s">
        <v>99</v>
      </c>
      <c r="F30" s="18" t="s">
        <v>4</v>
      </c>
      <c r="G30" s="19" t="s">
        <v>163</v>
      </c>
      <c r="H30" s="19" t="s">
        <v>164</v>
      </c>
      <c r="I30" s="20">
        <v>0.31990000000000002</v>
      </c>
      <c r="J30" s="19" t="s">
        <v>81</v>
      </c>
      <c r="K30" s="19" t="s">
        <v>50</v>
      </c>
      <c r="L30" s="21">
        <v>46251.556347199075</v>
      </c>
      <c r="M30" s="19" t="s">
        <v>91</v>
      </c>
    </row>
    <row r="31" spans="1:13" ht="48" customHeight="1" x14ac:dyDescent="0.35">
      <c r="A31" s="18" t="s">
        <v>165</v>
      </c>
      <c r="B31" s="18" t="s">
        <v>25</v>
      </c>
      <c r="C31" s="19" t="s">
        <v>166</v>
      </c>
      <c r="D31" s="19" t="s">
        <v>108</v>
      </c>
      <c r="E31" s="19" t="s">
        <v>46</v>
      </c>
      <c r="F31" s="18" t="s">
        <v>4</v>
      </c>
      <c r="G31" s="19" t="s">
        <v>167</v>
      </c>
      <c r="H31" s="19" t="s">
        <v>168</v>
      </c>
      <c r="I31" s="20">
        <v>153.7115</v>
      </c>
      <c r="J31" s="19" t="s">
        <v>169</v>
      </c>
      <c r="K31" s="19" t="s">
        <v>50</v>
      </c>
      <c r="L31" s="21">
        <v>46251.556347199075</v>
      </c>
      <c r="M31" s="19" t="s">
        <v>91</v>
      </c>
    </row>
    <row r="32" spans="1:13" ht="48" customHeight="1" x14ac:dyDescent="0.35">
      <c r="A32" s="18" t="s">
        <v>170</v>
      </c>
      <c r="B32" s="18" t="s">
        <v>25</v>
      </c>
      <c r="C32" s="19" t="s">
        <v>171</v>
      </c>
      <c r="D32" s="19" t="s">
        <v>94</v>
      </c>
      <c r="E32" s="19" t="s">
        <v>59</v>
      </c>
      <c r="F32" s="18" t="s">
        <v>4</v>
      </c>
      <c r="G32" s="19" t="s">
        <v>172</v>
      </c>
      <c r="H32" s="19" t="s">
        <v>173</v>
      </c>
      <c r="I32" s="20">
        <v>36.567799999999998</v>
      </c>
      <c r="J32" s="19" t="s">
        <v>169</v>
      </c>
      <c r="K32" s="19" t="s">
        <v>50</v>
      </c>
      <c r="L32" s="21">
        <v>46251.556347199075</v>
      </c>
      <c r="M32" s="19" t="s">
        <v>51</v>
      </c>
    </row>
    <row r="33" spans="1:13" ht="48" customHeight="1" x14ac:dyDescent="0.35">
      <c r="A33" s="18" t="s">
        <v>174</v>
      </c>
      <c r="B33" s="18" t="s">
        <v>25</v>
      </c>
      <c r="C33" s="19" t="s">
        <v>175</v>
      </c>
      <c r="D33" s="19" t="s">
        <v>176</v>
      </c>
      <c r="E33" s="19" t="s">
        <v>177</v>
      </c>
      <c r="F33" s="18" t="s">
        <v>4</v>
      </c>
      <c r="G33" s="19" t="s">
        <v>178</v>
      </c>
      <c r="H33" s="19" t="s">
        <v>179</v>
      </c>
      <c r="I33" s="20">
        <v>1180.3205</v>
      </c>
      <c r="J33" s="19" t="s">
        <v>169</v>
      </c>
      <c r="K33" s="19" t="s">
        <v>50</v>
      </c>
      <c r="L33" s="21">
        <v>46251.556347199075</v>
      </c>
      <c r="M33" s="19" t="s">
        <v>72</v>
      </c>
    </row>
    <row r="34" spans="1:13" ht="48" customHeight="1" x14ac:dyDescent="0.35">
      <c r="A34" s="18" t="s">
        <v>180</v>
      </c>
      <c r="B34" s="18" t="s">
        <v>25</v>
      </c>
      <c r="C34" s="19" t="s">
        <v>181</v>
      </c>
      <c r="D34" s="19" t="s">
        <v>176</v>
      </c>
      <c r="E34" s="19" t="s">
        <v>177</v>
      </c>
      <c r="F34" s="18" t="s">
        <v>4</v>
      </c>
      <c r="G34" s="19" t="s">
        <v>182</v>
      </c>
      <c r="H34" s="19" t="s">
        <v>183</v>
      </c>
      <c r="I34" s="20">
        <v>1129.0291</v>
      </c>
      <c r="J34" s="19" t="s">
        <v>184</v>
      </c>
      <c r="K34" s="19" t="s">
        <v>50</v>
      </c>
      <c r="L34" s="21">
        <v>46251.556347199075</v>
      </c>
      <c r="M34" s="19" t="s">
        <v>72</v>
      </c>
    </row>
    <row r="35" spans="1:13" ht="48" customHeight="1" x14ac:dyDescent="0.35">
      <c r="A35" s="18" t="s">
        <v>185</v>
      </c>
      <c r="B35" s="18" t="s">
        <v>25</v>
      </c>
      <c r="C35" s="19" t="s">
        <v>186</v>
      </c>
      <c r="D35" s="19" t="s">
        <v>84</v>
      </c>
      <c r="E35" s="19" t="s">
        <v>59</v>
      </c>
      <c r="F35" s="18" t="s">
        <v>4</v>
      </c>
      <c r="G35" s="19" t="s">
        <v>187</v>
      </c>
      <c r="H35" s="19" t="s">
        <v>188</v>
      </c>
      <c r="I35" s="20">
        <v>24.981100000000001</v>
      </c>
      <c r="J35" s="19" t="s">
        <v>184</v>
      </c>
      <c r="K35" s="19" t="s">
        <v>50</v>
      </c>
      <c r="L35" s="21">
        <v>46251.556347199075</v>
      </c>
      <c r="M35" s="19" t="s">
        <v>72</v>
      </c>
    </row>
    <row r="36" spans="1:13" ht="48" customHeight="1" x14ac:dyDescent="0.35">
      <c r="A36" s="18" t="s">
        <v>189</v>
      </c>
      <c r="B36" s="18" t="s">
        <v>25</v>
      </c>
      <c r="C36" s="19" t="s">
        <v>190</v>
      </c>
      <c r="D36" s="19" t="s">
        <v>84</v>
      </c>
      <c r="E36" s="19" t="s">
        <v>59</v>
      </c>
      <c r="F36" s="18" t="s">
        <v>4</v>
      </c>
      <c r="G36" s="19" t="s">
        <v>191</v>
      </c>
      <c r="H36" s="19" t="s">
        <v>192</v>
      </c>
      <c r="I36" s="20">
        <v>15.481999999999999</v>
      </c>
      <c r="J36" s="19" t="s">
        <v>184</v>
      </c>
      <c r="K36" s="19" t="s">
        <v>50</v>
      </c>
      <c r="L36" s="21">
        <v>46251.556347199075</v>
      </c>
      <c r="M36" s="19" t="s">
        <v>72</v>
      </c>
    </row>
    <row r="37" spans="1:13" ht="48" customHeight="1" x14ac:dyDescent="0.35">
      <c r="A37" s="18" t="s">
        <v>193</v>
      </c>
      <c r="B37" s="18" t="s">
        <v>25</v>
      </c>
      <c r="C37" s="19" t="s">
        <v>194</v>
      </c>
      <c r="D37" s="19" t="s">
        <v>176</v>
      </c>
      <c r="E37" s="19" t="s">
        <v>46</v>
      </c>
      <c r="F37" s="18" t="s">
        <v>4</v>
      </c>
      <c r="G37" s="19" t="s">
        <v>195</v>
      </c>
      <c r="H37" s="19" t="s">
        <v>196</v>
      </c>
      <c r="I37" s="20">
        <v>549.24450000000002</v>
      </c>
      <c r="J37" s="19" t="s">
        <v>184</v>
      </c>
      <c r="K37" s="19" t="s">
        <v>50</v>
      </c>
      <c r="L37" s="21">
        <v>46251.556347199075</v>
      </c>
      <c r="M37" s="19" t="s">
        <v>72</v>
      </c>
    </row>
    <row r="38" spans="1:13" ht="48" customHeight="1" x14ac:dyDescent="0.35">
      <c r="A38" s="18" t="s">
        <v>197</v>
      </c>
      <c r="B38" s="18" t="s">
        <v>25</v>
      </c>
      <c r="C38" s="19" t="s">
        <v>198</v>
      </c>
      <c r="D38" s="19" t="s">
        <v>176</v>
      </c>
      <c r="E38" s="19" t="s">
        <v>46</v>
      </c>
      <c r="F38" s="18" t="s">
        <v>4</v>
      </c>
      <c r="G38" s="19" t="s">
        <v>199</v>
      </c>
      <c r="H38" s="19" t="s">
        <v>200</v>
      </c>
      <c r="I38" s="20">
        <v>45.629800000000003</v>
      </c>
      <c r="J38" s="19" t="s">
        <v>184</v>
      </c>
      <c r="K38" s="19" t="s">
        <v>50</v>
      </c>
      <c r="L38" s="21">
        <v>46251.556347199075</v>
      </c>
      <c r="M38" s="19" t="s">
        <v>72</v>
      </c>
    </row>
    <row r="39" spans="1:13" ht="48" customHeight="1" x14ac:dyDescent="0.35">
      <c r="A39" s="18" t="s">
        <v>201</v>
      </c>
      <c r="B39" s="18" t="s">
        <v>17</v>
      </c>
      <c r="C39" s="19" t="s">
        <v>202</v>
      </c>
      <c r="D39" s="19" t="s">
        <v>45</v>
      </c>
      <c r="E39" s="19" t="s">
        <v>99</v>
      </c>
      <c r="F39" s="18" t="s">
        <v>4</v>
      </c>
      <c r="G39" s="19" t="s">
        <v>203</v>
      </c>
      <c r="H39" s="19" t="s">
        <v>204</v>
      </c>
      <c r="I39" s="20">
        <v>3.1438000000000001</v>
      </c>
      <c r="J39" s="19" t="s">
        <v>205</v>
      </c>
      <c r="K39" s="19" t="s">
        <v>50</v>
      </c>
      <c r="L39" s="21">
        <v>46251.556347199075</v>
      </c>
      <c r="M39" s="19" t="s">
        <v>72</v>
      </c>
    </row>
    <row r="40" spans="1:13" ht="48" customHeight="1" x14ac:dyDescent="0.35">
      <c r="A40" s="18" t="s">
        <v>206</v>
      </c>
      <c r="B40" s="18" t="s">
        <v>17</v>
      </c>
      <c r="C40" s="19" t="s">
        <v>207</v>
      </c>
      <c r="D40" s="19" t="s">
        <v>45</v>
      </c>
      <c r="E40" s="19" t="s">
        <v>46</v>
      </c>
      <c r="F40" s="18" t="s">
        <v>4</v>
      </c>
      <c r="G40" s="19" t="s">
        <v>208</v>
      </c>
      <c r="H40" s="19" t="s">
        <v>209</v>
      </c>
      <c r="I40" s="20">
        <v>0.17019999999999999</v>
      </c>
      <c r="J40" s="19" t="s">
        <v>205</v>
      </c>
      <c r="K40" s="19" t="s">
        <v>50</v>
      </c>
      <c r="L40" s="21">
        <v>46251.556347199075</v>
      </c>
      <c r="M40" s="19" t="s">
        <v>72</v>
      </c>
    </row>
    <row r="41" spans="1:13" ht="48" customHeight="1" x14ac:dyDescent="0.35">
      <c r="A41" s="18" t="s">
        <v>210</v>
      </c>
      <c r="B41" s="18" t="s">
        <v>24</v>
      </c>
      <c r="C41" s="19" t="s">
        <v>211</v>
      </c>
      <c r="D41" s="19" t="s">
        <v>45</v>
      </c>
      <c r="E41" s="19" t="s">
        <v>99</v>
      </c>
      <c r="F41" s="18" t="s">
        <v>4</v>
      </c>
      <c r="G41" s="19" t="s">
        <v>212</v>
      </c>
      <c r="H41" s="19" t="s">
        <v>213</v>
      </c>
      <c r="I41" s="20">
        <v>1.1882999999999999</v>
      </c>
      <c r="J41" s="19" t="s">
        <v>214</v>
      </c>
      <c r="K41" s="19" t="s">
        <v>50</v>
      </c>
      <c r="L41" s="21">
        <v>46251.556347199075</v>
      </c>
      <c r="M41" s="19" t="s">
        <v>72</v>
      </c>
    </row>
    <row r="42" spans="1:13" ht="48" customHeight="1" x14ac:dyDescent="0.35">
      <c r="A42" s="18" t="s">
        <v>215</v>
      </c>
      <c r="B42" s="18" t="s">
        <v>24</v>
      </c>
      <c r="C42" s="19" t="s">
        <v>216</v>
      </c>
      <c r="D42" s="19" t="s">
        <v>94</v>
      </c>
      <c r="E42" s="19" t="s">
        <v>46</v>
      </c>
      <c r="F42" s="18" t="s">
        <v>4</v>
      </c>
      <c r="G42" s="19" t="s">
        <v>217</v>
      </c>
      <c r="H42" s="19" t="s">
        <v>218</v>
      </c>
      <c r="I42" s="20">
        <v>0.2621</v>
      </c>
      <c r="J42" s="19" t="s">
        <v>214</v>
      </c>
      <c r="K42" s="19" t="s">
        <v>50</v>
      </c>
      <c r="L42" s="21">
        <v>46251.556347199075</v>
      </c>
      <c r="M42" s="19" t="s">
        <v>51</v>
      </c>
    </row>
    <row r="43" spans="1:13" ht="48" customHeight="1" x14ac:dyDescent="0.35">
      <c r="A43" s="18" t="s">
        <v>219</v>
      </c>
      <c r="B43" s="18" t="s">
        <v>24</v>
      </c>
      <c r="C43" s="19" t="s">
        <v>220</v>
      </c>
      <c r="D43" s="19" t="s">
        <v>84</v>
      </c>
      <c r="E43" s="19" t="s">
        <v>59</v>
      </c>
      <c r="F43" s="18" t="s">
        <v>4</v>
      </c>
      <c r="G43" s="19" t="s">
        <v>221</v>
      </c>
      <c r="H43" s="19" t="s">
        <v>222</v>
      </c>
      <c r="I43" s="20">
        <v>0.54490000000000005</v>
      </c>
      <c r="J43" s="19" t="s">
        <v>214</v>
      </c>
      <c r="K43" s="19" t="s">
        <v>50</v>
      </c>
      <c r="L43" s="21">
        <v>46251.556347199075</v>
      </c>
      <c r="M43" s="19" t="s">
        <v>72</v>
      </c>
    </row>
    <row r="44" spans="1:13" ht="48" customHeight="1" x14ac:dyDescent="0.35">
      <c r="A44" s="18" t="s">
        <v>223</v>
      </c>
      <c r="B44" s="18" t="s">
        <v>22</v>
      </c>
      <c r="C44" s="19" t="s">
        <v>224</v>
      </c>
      <c r="D44" s="19" t="s">
        <v>84</v>
      </c>
      <c r="E44" s="19" t="s">
        <v>46</v>
      </c>
      <c r="F44" s="18" t="s">
        <v>4</v>
      </c>
      <c r="G44" s="19" t="s">
        <v>225</v>
      </c>
      <c r="H44" s="19" t="s">
        <v>226</v>
      </c>
      <c r="I44" s="20">
        <v>1.5112000000000001</v>
      </c>
      <c r="J44" s="19" t="s">
        <v>227</v>
      </c>
      <c r="K44" s="19" t="s">
        <v>50</v>
      </c>
      <c r="L44" s="21">
        <v>46251.556347199075</v>
      </c>
      <c r="M44" s="19" t="s">
        <v>72</v>
      </c>
    </row>
    <row r="45" spans="1:13" ht="48" customHeight="1" x14ac:dyDescent="0.35">
      <c r="A45" s="18" t="s">
        <v>228</v>
      </c>
      <c r="B45" s="18" t="s">
        <v>22</v>
      </c>
      <c r="C45" s="19" t="s">
        <v>229</v>
      </c>
      <c r="D45" s="19" t="s">
        <v>84</v>
      </c>
      <c r="E45" s="19" t="s">
        <v>230</v>
      </c>
      <c r="F45" s="18" t="s">
        <v>4</v>
      </c>
      <c r="G45" s="19" t="s">
        <v>231</v>
      </c>
      <c r="H45" s="19" t="s">
        <v>232</v>
      </c>
      <c r="I45" s="20">
        <v>0.3548</v>
      </c>
      <c r="J45" s="19" t="s">
        <v>227</v>
      </c>
      <c r="K45" s="19" t="s">
        <v>50</v>
      </c>
      <c r="L45" s="21">
        <v>46251.556347199075</v>
      </c>
      <c r="M45" s="19" t="s">
        <v>72</v>
      </c>
    </row>
    <row r="46" spans="1:13" ht="48" customHeight="1" x14ac:dyDescent="0.35">
      <c r="A46" s="18" t="s">
        <v>233</v>
      </c>
      <c r="B46" s="18" t="s">
        <v>22</v>
      </c>
      <c r="C46" s="19" t="s">
        <v>234</v>
      </c>
      <c r="D46" s="19" t="s">
        <v>84</v>
      </c>
      <c r="E46" s="19" t="s">
        <v>59</v>
      </c>
      <c r="F46" s="18" t="s">
        <v>4</v>
      </c>
      <c r="G46" s="19" t="s">
        <v>235</v>
      </c>
      <c r="H46" s="19" t="s">
        <v>236</v>
      </c>
      <c r="I46" s="20">
        <v>0.99399999999999999</v>
      </c>
      <c r="J46" s="19" t="s">
        <v>227</v>
      </c>
      <c r="K46" s="19" t="s">
        <v>50</v>
      </c>
      <c r="L46" s="21">
        <v>46251.556347199075</v>
      </c>
      <c r="M46" s="19" t="s">
        <v>72</v>
      </c>
    </row>
    <row r="47" spans="1:13" ht="48" customHeight="1" x14ac:dyDescent="0.35">
      <c r="A47" s="18" t="s">
        <v>237</v>
      </c>
      <c r="B47" s="18" t="s">
        <v>26</v>
      </c>
      <c r="C47" s="19" t="s">
        <v>238</v>
      </c>
      <c r="D47" s="19" t="s">
        <v>84</v>
      </c>
      <c r="E47" s="19" t="s">
        <v>59</v>
      </c>
      <c r="F47" s="18" t="s">
        <v>4</v>
      </c>
      <c r="G47" s="19" t="s">
        <v>239</v>
      </c>
      <c r="H47" s="19" t="s">
        <v>240</v>
      </c>
      <c r="I47" s="20">
        <v>23.7805</v>
      </c>
      <c r="J47" s="19" t="s">
        <v>241</v>
      </c>
      <c r="K47" s="19" t="s">
        <v>50</v>
      </c>
      <c r="L47" s="21">
        <v>46251.556347199075</v>
      </c>
      <c r="M47" s="19" t="s">
        <v>72</v>
      </c>
    </row>
    <row r="48" spans="1:13" ht="48" customHeight="1" x14ac:dyDescent="0.35">
      <c r="A48" s="18" t="s">
        <v>242</v>
      </c>
      <c r="B48" s="18" t="s">
        <v>26</v>
      </c>
      <c r="C48" s="19" t="s">
        <v>243</v>
      </c>
      <c r="D48" s="19" t="s">
        <v>84</v>
      </c>
      <c r="E48" s="19" t="s">
        <v>46</v>
      </c>
      <c r="F48" s="18" t="s">
        <v>4</v>
      </c>
      <c r="G48" s="19" t="s">
        <v>244</v>
      </c>
      <c r="H48" s="19" t="s">
        <v>245</v>
      </c>
      <c r="I48" s="20">
        <v>16.667200000000001</v>
      </c>
      <c r="J48" s="19" t="s">
        <v>241</v>
      </c>
      <c r="K48" s="19" t="s">
        <v>50</v>
      </c>
      <c r="L48" s="21">
        <v>46251.556347199075</v>
      </c>
      <c r="M48" s="19" t="s">
        <v>72</v>
      </c>
    </row>
    <row r="49" spans="1:13" ht="48" customHeight="1" x14ac:dyDescent="0.35">
      <c r="A49" s="18" t="s">
        <v>246</v>
      </c>
      <c r="B49" s="18" t="s">
        <v>26</v>
      </c>
      <c r="C49" s="19" t="s">
        <v>247</v>
      </c>
      <c r="D49" s="19" t="s">
        <v>84</v>
      </c>
      <c r="E49" s="19" t="s">
        <v>59</v>
      </c>
      <c r="F49" s="18" t="s">
        <v>4</v>
      </c>
      <c r="G49" s="19" t="s">
        <v>248</v>
      </c>
      <c r="H49" s="19" t="s">
        <v>249</v>
      </c>
      <c r="I49" s="20">
        <v>13.5732</v>
      </c>
      <c r="J49" s="19" t="s">
        <v>241</v>
      </c>
      <c r="K49" s="19" t="s">
        <v>50</v>
      </c>
      <c r="L49" s="21">
        <v>46251.556347199075</v>
      </c>
      <c r="M49" s="19" t="s">
        <v>72</v>
      </c>
    </row>
    <row r="50" spans="1:13" ht="48" customHeight="1" x14ac:dyDescent="0.35">
      <c r="A50" s="18" t="s">
        <v>250</v>
      </c>
      <c r="B50" s="18" t="s">
        <v>26</v>
      </c>
      <c r="C50" s="19" t="s">
        <v>251</v>
      </c>
      <c r="D50" s="19" t="s">
        <v>84</v>
      </c>
      <c r="E50" s="19" t="s">
        <v>46</v>
      </c>
      <c r="F50" s="18" t="s">
        <v>4</v>
      </c>
      <c r="G50" s="19" t="s">
        <v>252</v>
      </c>
      <c r="H50" s="19" t="s">
        <v>253</v>
      </c>
      <c r="I50" s="20">
        <v>31.2256</v>
      </c>
      <c r="J50" s="19" t="s">
        <v>241</v>
      </c>
      <c r="K50" s="19" t="s">
        <v>50</v>
      </c>
      <c r="L50" s="21">
        <v>46251.556347199075</v>
      </c>
      <c r="M50" s="19" t="s">
        <v>72</v>
      </c>
    </row>
    <row r="51" spans="1:13" ht="48" customHeight="1" x14ac:dyDescent="0.35">
      <c r="A51" s="18" t="s">
        <v>254</v>
      </c>
      <c r="B51" s="18" t="s">
        <v>26</v>
      </c>
      <c r="C51" s="19" t="s">
        <v>255</v>
      </c>
      <c r="D51" s="19" t="s">
        <v>84</v>
      </c>
      <c r="E51" s="19" t="s">
        <v>59</v>
      </c>
      <c r="F51" s="18" t="s">
        <v>4</v>
      </c>
      <c r="G51" s="19" t="s">
        <v>256</v>
      </c>
      <c r="H51" s="19" t="s">
        <v>257</v>
      </c>
      <c r="I51" s="20">
        <v>10.0223</v>
      </c>
      <c r="J51" s="19" t="s">
        <v>241</v>
      </c>
      <c r="K51" s="19" t="s">
        <v>50</v>
      </c>
      <c r="L51" s="21">
        <v>46251.556347199075</v>
      </c>
      <c r="M51" s="19" t="s">
        <v>72</v>
      </c>
    </row>
    <row r="52" spans="1:13" ht="48" customHeight="1" x14ac:dyDescent="0.35">
      <c r="A52" s="18" t="s">
        <v>258</v>
      </c>
      <c r="B52" s="18" t="s">
        <v>26</v>
      </c>
      <c r="C52" s="19" t="s">
        <v>259</v>
      </c>
      <c r="D52" s="19" t="s">
        <v>84</v>
      </c>
      <c r="E52" s="19" t="s">
        <v>59</v>
      </c>
      <c r="F52" s="18" t="s">
        <v>4</v>
      </c>
      <c r="G52" s="19" t="s">
        <v>260</v>
      </c>
      <c r="H52" s="19" t="s">
        <v>261</v>
      </c>
      <c r="I52" s="20">
        <v>28.776499999999999</v>
      </c>
      <c r="J52" s="19" t="s">
        <v>241</v>
      </c>
      <c r="K52" s="19" t="s">
        <v>50</v>
      </c>
      <c r="L52" s="21">
        <v>46251.556347199075</v>
      </c>
      <c r="M52" s="19" t="s">
        <v>72</v>
      </c>
    </row>
    <row r="53" spans="1:13" ht="48" customHeight="1" x14ac:dyDescent="0.35">
      <c r="A53" s="18" t="s">
        <v>262</v>
      </c>
      <c r="B53" s="18" t="s">
        <v>26</v>
      </c>
      <c r="C53" s="19" t="s">
        <v>263</v>
      </c>
      <c r="D53" s="19" t="s">
        <v>264</v>
      </c>
      <c r="E53" s="19" t="s">
        <v>265</v>
      </c>
      <c r="F53" s="18" t="s">
        <v>4</v>
      </c>
      <c r="G53" s="19" t="s">
        <v>266</v>
      </c>
      <c r="H53" s="19" t="s">
        <v>267</v>
      </c>
      <c r="I53" s="20">
        <v>1133.3818000000001</v>
      </c>
      <c r="J53" s="19" t="s">
        <v>241</v>
      </c>
      <c r="K53" s="19" t="s">
        <v>50</v>
      </c>
      <c r="L53" s="21">
        <v>46251.556347199075</v>
      </c>
      <c r="M53" s="19" t="s">
        <v>72</v>
      </c>
    </row>
    <row r="54" spans="1:13" ht="48" customHeight="1" x14ac:dyDescent="0.35">
      <c r="A54" s="18" t="s">
        <v>268</v>
      </c>
      <c r="B54" s="18" t="s">
        <v>26</v>
      </c>
      <c r="C54" s="19" t="s">
        <v>269</v>
      </c>
      <c r="D54" s="19" t="s">
        <v>84</v>
      </c>
      <c r="E54" s="19" t="s">
        <v>134</v>
      </c>
      <c r="F54" s="18" t="s">
        <v>4</v>
      </c>
      <c r="G54" s="19" t="s">
        <v>270</v>
      </c>
      <c r="H54" s="19" t="s">
        <v>271</v>
      </c>
      <c r="I54" s="20">
        <v>1170.8561999999999</v>
      </c>
      <c r="J54" s="19" t="s">
        <v>241</v>
      </c>
      <c r="K54" s="19" t="s">
        <v>50</v>
      </c>
      <c r="L54" s="21">
        <v>46251.556347199075</v>
      </c>
      <c r="M54" s="19" t="s">
        <v>72</v>
      </c>
    </row>
    <row r="55" spans="1:13" ht="48" customHeight="1" x14ac:dyDescent="0.35">
      <c r="A55" s="18" t="s">
        <v>272</v>
      </c>
      <c r="B55" s="18" t="s">
        <v>26</v>
      </c>
      <c r="C55" s="19" t="s">
        <v>273</v>
      </c>
      <c r="D55" s="19" t="s">
        <v>84</v>
      </c>
      <c r="E55" s="19" t="s">
        <v>46</v>
      </c>
      <c r="F55" s="18" t="s">
        <v>4</v>
      </c>
      <c r="G55" s="19" t="s">
        <v>274</v>
      </c>
      <c r="H55" s="19" t="s">
        <v>275</v>
      </c>
      <c r="I55" s="20">
        <v>21.039200000000001</v>
      </c>
      <c r="J55" s="19" t="s">
        <v>241</v>
      </c>
      <c r="K55" s="19" t="s">
        <v>50</v>
      </c>
      <c r="L55" s="21">
        <v>46251.556347199075</v>
      </c>
      <c r="M55" s="19" t="s">
        <v>72</v>
      </c>
    </row>
    <row r="56" spans="1:13" ht="48" customHeight="1" x14ac:dyDescent="0.35">
      <c r="A56" s="18" t="s">
        <v>276</v>
      </c>
      <c r="B56" s="18" t="s">
        <v>26</v>
      </c>
      <c r="C56" s="19" t="s">
        <v>277</v>
      </c>
      <c r="D56" s="19" t="s">
        <v>176</v>
      </c>
      <c r="E56" s="19" t="s">
        <v>46</v>
      </c>
      <c r="F56" s="18" t="s">
        <v>4</v>
      </c>
      <c r="G56" s="19" t="s">
        <v>278</v>
      </c>
      <c r="H56" s="19" t="s">
        <v>279</v>
      </c>
      <c r="I56" s="20">
        <v>1173.0352</v>
      </c>
      <c r="J56" s="19" t="s">
        <v>241</v>
      </c>
      <c r="K56" s="19" t="s">
        <v>50</v>
      </c>
      <c r="L56" s="21">
        <v>46251.556347199075</v>
      </c>
      <c r="M56" s="19" t="s">
        <v>51</v>
      </c>
    </row>
    <row r="57" spans="1:13" ht="48" customHeight="1" x14ac:dyDescent="0.35">
      <c r="A57" s="18" t="s">
        <v>280</v>
      </c>
      <c r="B57" s="18" t="s">
        <v>26</v>
      </c>
      <c r="C57" s="19" t="s">
        <v>281</v>
      </c>
      <c r="D57" s="19" t="s">
        <v>58</v>
      </c>
      <c r="E57" s="19" t="s">
        <v>46</v>
      </c>
      <c r="F57" s="18" t="s">
        <v>4</v>
      </c>
      <c r="G57" s="19" t="s">
        <v>282</v>
      </c>
      <c r="H57" s="19" t="s">
        <v>283</v>
      </c>
      <c r="I57" s="20">
        <v>985.23760000000004</v>
      </c>
      <c r="J57" s="19" t="s">
        <v>241</v>
      </c>
      <c r="K57" s="19" t="s">
        <v>50</v>
      </c>
      <c r="L57" s="21">
        <v>46251.556347199075</v>
      </c>
      <c r="M57" s="19" t="s">
        <v>72</v>
      </c>
    </row>
    <row r="58" spans="1:13" ht="48" customHeight="1" x14ac:dyDescent="0.35">
      <c r="A58" s="18" t="s">
        <v>284</v>
      </c>
      <c r="B58" s="18" t="s">
        <v>26</v>
      </c>
      <c r="C58" s="19" t="s">
        <v>285</v>
      </c>
      <c r="D58" s="19" t="s">
        <v>58</v>
      </c>
      <c r="E58" s="19" t="s">
        <v>46</v>
      </c>
      <c r="F58" s="18" t="s">
        <v>4</v>
      </c>
      <c r="G58" s="19" t="s">
        <v>286</v>
      </c>
      <c r="H58" s="19" t="s">
        <v>287</v>
      </c>
      <c r="I58" s="20">
        <v>1245.5088000000001</v>
      </c>
      <c r="J58" s="19" t="s">
        <v>241</v>
      </c>
      <c r="K58" s="19" t="s">
        <v>50</v>
      </c>
      <c r="L58" s="21">
        <v>46251.556347199075</v>
      </c>
      <c r="M58" s="19" t="s">
        <v>72</v>
      </c>
    </row>
    <row r="59" spans="1:13" ht="48" customHeight="1" x14ac:dyDescent="0.35">
      <c r="A59" s="18" t="s">
        <v>288</v>
      </c>
      <c r="B59" s="18" t="s">
        <v>18</v>
      </c>
      <c r="C59" s="19" t="s">
        <v>289</v>
      </c>
      <c r="D59" s="19" t="s">
        <v>45</v>
      </c>
      <c r="E59" s="19" t="s">
        <v>59</v>
      </c>
      <c r="F59" s="18" t="s">
        <v>4</v>
      </c>
      <c r="G59" s="19" t="s">
        <v>290</v>
      </c>
      <c r="H59" s="19" t="s">
        <v>291</v>
      </c>
      <c r="I59" s="20">
        <v>8.0677000000000003</v>
      </c>
      <c r="J59" s="19" t="s">
        <v>292</v>
      </c>
      <c r="K59" s="19" t="s">
        <v>50</v>
      </c>
      <c r="L59" s="21">
        <v>46251.556347199075</v>
      </c>
      <c r="M59" s="19" t="s">
        <v>72</v>
      </c>
    </row>
    <row r="60" spans="1:13" ht="48" customHeight="1" x14ac:dyDescent="0.35">
      <c r="A60" s="18" t="s">
        <v>293</v>
      </c>
      <c r="B60" s="18" t="s">
        <v>20</v>
      </c>
      <c r="C60" s="19" t="s">
        <v>294</v>
      </c>
      <c r="D60" s="19" t="s">
        <v>264</v>
      </c>
      <c r="E60" s="19" t="s">
        <v>265</v>
      </c>
      <c r="F60" s="18" t="s">
        <v>4</v>
      </c>
      <c r="G60" s="19" t="s">
        <v>295</v>
      </c>
      <c r="H60" s="19" t="s">
        <v>296</v>
      </c>
      <c r="I60" s="20">
        <v>87.6096</v>
      </c>
      <c r="J60" s="19" t="s">
        <v>297</v>
      </c>
      <c r="K60" s="19" t="s">
        <v>50</v>
      </c>
      <c r="L60" s="21">
        <v>46251.556347199075</v>
      </c>
      <c r="M60" s="19" t="s">
        <v>72</v>
      </c>
    </row>
  </sheetData>
  <mergeCells count="2">
    <mergeCell ref="A1:M2"/>
    <mergeCell ref="A3:M3"/>
  </mergeCells>
  <conditionalFormatting sqref="F5:F60">
    <cfRule type="containsText" dxfId="4" priority="1" operator="containsText" text="Passed"/>
    <cfRule type="containsText" dxfId="3" priority="2" operator="containsText" text="Failed"/>
  </conditionalFormatting>
  <conditionalFormatting sqref="M5:M60">
    <cfRule type="containsText" dxfId="2" priority="3" operator="containsText" text="Critical"/>
  </conditionalFormatting>
  <dataValidations count="2">
    <dataValidation type="list" sqref="F5:F60" xr:uid="{00000000-0002-0000-0100-000000000000}">
      <formula1>"Passed,Failed,Blocked,Not Run"</formula1>
    </dataValidation>
    <dataValidation type="list" sqref="M5:M60" xr:uid="{00000000-0002-0000-0100-000001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9"/>
  <sheetViews>
    <sheetView showGridLines="0" topLeftCell="A65" workbookViewId="0">
      <selection sqref="A1:H2"/>
    </sheetView>
  </sheetViews>
  <sheetFormatPr defaultRowHeight="14.5" x14ac:dyDescent="0.35"/>
  <cols>
    <col min="1" max="1" width="18" customWidth="1"/>
    <col min="2" max="3" width="13" customWidth="1"/>
    <col min="4" max="4" width="64" customWidth="1"/>
    <col min="5" max="5" width="12" customWidth="1"/>
    <col min="6" max="6" width="15" customWidth="1"/>
    <col min="7" max="7" width="34" customWidth="1"/>
    <col min="8" max="8" width="24" customWidth="1"/>
  </cols>
  <sheetData>
    <row r="1" spans="1:8" ht="25" customHeight="1" x14ac:dyDescent="0.35">
      <c r="A1" s="48" t="s">
        <v>298</v>
      </c>
      <c r="B1" s="48"/>
      <c r="C1" s="48"/>
      <c r="D1" s="48"/>
      <c r="E1" s="48"/>
      <c r="F1" s="48"/>
      <c r="G1" s="48"/>
      <c r="H1" s="48"/>
    </row>
    <row r="2" spans="1:8" ht="25" customHeight="1" x14ac:dyDescent="0.35">
      <c r="A2" s="48"/>
      <c r="B2" s="48"/>
      <c r="C2" s="48"/>
      <c r="D2" s="48"/>
      <c r="E2" s="48"/>
      <c r="F2" s="48"/>
      <c r="G2" s="48"/>
      <c r="H2" s="48"/>
    </row>
    <row r="3" spans="1:8" ht="25" customHeight="1" x14ac:dyDescent="0.35">
      <c r="A3" s="26" t="s">
        <v>299</v>
      </c>
      <c r="B3" s="26"/>
      <c r="C3" s="26"/>
      <c r="D3" s="26"/>
      <c r="E3" s="26"/>
      <c r="F3" s="26"/>
      <c r="G3" s="26"/>
      <c r="H3" s="26"/>
    </row>
    <row r="5" spans="1:8" ht="38" customHeight="1" x14ac:dyDescent="0.35">
      <c r="A5" s="1" t="s">
        <v>300</v>
      </c>
      <c r="B5" s="49" t="s">
        <v>50</v>
      </c>
      <c r="C5" s="49"/>
      <c r="D5" s="49"/>
      <c r="E5" s="49"/>
      <c r="F5" s="22" t="s">
        <v>301</v>
      </c>
      <c r="G5" s="50">
        <v>46251.556190833333</v>
      </c>
      <c r="H5" s="51"/>
    </row>
    <row r="6" spans="1:8" ht="52" customHeight="1" x14ac:dyDescent="0.35">
      <c r="A6" s="2" t="s">
        <v>302</v>
      </c>
      <c r="B6" s="52" t="s">
        <v>303</v>
      </c>
      <c r="C6" s="52"/>
      <c r="D6" s="52"/>
      <c r="E6" s="52"/>
      <c r="F6" s="23" t="s">
        <v>304</v>
      </c>
      <c r="G6" s="53">
        <v>46251.556347199075</v>
      </c>
      <c r="H6" s="54"/>
    </row>
    <row r="7" spans="1:8" ht="52" customHeight="1" x14ac:dyDescent="0.35">
      <c r="A7" s="2" t="s">
        <v>305</v>
      </c>
      <c r="B7" s="52" t="s">
        <v>306</v>
      </c>
      <c r="C7" s="52"/>
      <c r="D7" s="52"/>
      <c r="E7" s="52"/>
      <c r="F7" s="23" t="s">
        <v>307</v>
      </c>
      <c r="G7" s="52">
        <v>0</v>
      </c>
      <c r="H7" s="55"/>
    </row>
    <row r="8" spans="1:8" ht="38" customHeight="1" x14ac:dyDescent="0.35">
      <c r="A8" s="2" t="s">
        <v>308</v>
      </c>
      <c r="B8" s="52" t="s">
        <v>309</v>
      </c>
      <c r="C8" s="52"/>
      <c r="D8" s="52"/>
      <c r="E8" s="52"/>
      <c r="F8" s="23" t="s">
        <v>310</v>
      </c>
      <c r="G8" s="52">
        <v>56</v>
      </c>
      <c r="H8" s="55"/>
    </row>
    <row r="9" spans="1:8" ht="38" customHeight="1" x14ac:dyDescent="0.35">
      <c r="A9" s="2" t="s">
        <v>311</v>
      </c>
      <c r="B9" s="52" t="s">
        <v>312</v>
      </c>
      <c r="C9" s="52"/>
      <c r="D9" s="52"/>
      <c r="E9" s="52"/>
      <c r="F9" s="23" t="s">
        <v>313</v>
      </c>
      <c r="G9" s="52">
        <v>0</v>
      </c>
      <c r="H9" s="55"/>
    </row>
    <row r="10" spans="1:8" ht="38" customHeight="1" x14ac:dyDescent="0.35">
      <c r="A10" s="2" t="s">
        <v>314</v>
      </c>
      <c r="B10" s="52" t="s">
        <v>315</v>
      </c>
      <c r="C10" s="52"/>
      <c r="D10" s="52"/>
      <c r="E10" s="52"/>
      <c r="F10" s="23" t="s">
        <v>316</v>
      </c>
      <c r="G10" s="52" t="s">
        <v>317</v>
      </c>
      <c r="H10" s="55"/>
    </row>
    <row r="11" spans="1:8" ht="38" customHeight="1" x14ac:dyDescent="0.35">
      <c r="A11" s="3" t="s">
        <v>318</v>
      </c>
      <c r="B11" s="56" t="s">
        <v>319</v>
      </c>
      <c r="C11" s="56"/>
      <c r="D11" s="56"/>
      <c r="E11" s="56"/>
      <c r="F11" s="24" t="s">
        <v>320</v>
      </c>
      <c r="G11" s="56">
        <v>56</v>
      </c>
      <c r="H11" s="57"/>
    </row>
    <row r="13" spans="1:8" ht="30" customHeight="1" x14ac:dyDescent="0.35">
      <c r="A13" s="16" t="s">
        <v>36</v>
      </c>
      <c r="B13" s="16" t="s">
        <v>31</v>
      </c>
      <c r="C13" s="16" t="s">
        <v>321</v>
      </c>
      <c r="D13" s="16" t="s">
        <v>322</v>
      </c>
      <c r="E13" s="16" t="s">
        <v>35</v>
      </c>
      <c r="F13" s="16" t="s">
        <v>38</v>
      </c>
      <c r="G13" s="16" t="s">
        <v>39</v>
      </c>
      <c r="H13" s="16" t="s">
        <v>40</v>
      </c>
    </row>
    <row r="14" spans="1:8" ht="34" customHeight="1" x14ac:dyDescent="0.35">
      <c r="A14" s="18" t="s">
        <v>47</v>
      </c>
      <c r="B14" s="18" t="s">
        <v>43</v>
      </c>
      <c r="C14" s="18">
        <v>1</v>
      </c>
      <c r="D14" s="19" t="s">
        <v>323</v>
      </c>
      <c r="E14" s="19" t="s">
        <v>4</v>
      </c>
      <c r="F14" s="20">
        <v>1.9489000000000001</v>
      </c>
      <c r="G14" s="19" t="s">
        <v>49</v>
      </c>
      <c r="H14" s="19" t="s">
        <v>50</v>
      </c>
    </row>
    <row r="15" spans="1:8" ht="34" customHeight="1" x14ac:dyDescent="0.35">
      <c r="A15" s="18" t="s">
        <v>54</v>
      </c>
      <c r="B15" s="18" t="s">
        <v>52</v>
      </c>
      <c r="C15" s="18">
        <v>2</v>
      </c>
      <c r="D15" s="19" t="s">
        <v>53</v>
      </c>
      <c r="E15" s="19" t="s">
        <v>4</v>
      </c>
      <c r="F15" s="20">
        <v>0.69379999999999997</v>
      </c>
      <c r="G15" s="19" t="s">
        <v>49</v>
      </c>
      <c r="H15" s="19" t="s">
        <v>50</v>
      </c>
    </row>
    <row r="16" spans="1:8" ht="34" customHeight="1" x14ac:dyDescent="0.35">
      <c r="A16" s="18" t="s">
        <v>60</v>
      </c>
      <c r="B16" s="18" t="s">
        <v>56</v>
      </c>
      <c r="C16" s="18">
        <v>3</v>
      </c>
      <c r="D16" s="19" t="s">
        <v>57</v>
      </c>
      <c r="E16" s="19" t="s">
        <v>4</v>
      </c>
      <c r="F16" s="20">
        <v>0.78239999999999998</v>
      </c>
      <c r="G16" s="19" t="s">
        <v>49</v>
      </c>
      <c r="H16" s="19" t="s">
        <v>50</v>
      </c>
    </row>
    <row r="17" spans="1:8" ht="34" customHeight="1" x14ac:dyDescent="0.35">
      <c r="A17" s="18" t="s">
        <v>64</v>
      </c>
      <c r="B17" s="18" t="s">
        <v>62</v>
      </c>
      <c r="C17" s="18">
        <v>4</v>
      </c>
      <c r="D17" s="19" t="s">
        <v>324</v>
      </c>
      <c r="E17" s="19" t="s">
        <v>4</v>
      </c>
      <c r="F17" s="20">
        <v>0.31480000000000002</v>
      </c>
      <c r="G17" s="19" t="s">
        <v>49</v>
      </c>
      <c r="H17" s="19" t="s">
        <v>50</v>
      </c>
    </row>
    <row r="18" spans="1:8" ht="34" customHeight="1" x14ac:dyDescent="0.35">
      <c r="A18" s="18" t="s">
        <v>69</v>
      </c>
      <c r="B18" s="18" t="s">
        <v>66</v>
      </c>
      <c r="C18" s="18">
        <v>5</v>
      </c>
      <c r="D18" s="19" t="s">
        <v>325</v>
      </c>
      <c r="E18" s="19" t="s">
        <v>4</v>
      </c>
      <c r="F18" s="20">
        <v>2.0813999999999999</v>
      </c>
      <c r="G18" s="19" t="s">
        <v>71</v>
      </c>
      <c r="H18" s="19" t="s">
        <v>50</v>
      </c>
    </row>
    <row r="19" spans="1:8" ht="34" customHeight="1" x14ac:dyDescent="0.35">
      <c r="A19" s="18" t="s">
        <v>75</v>
      </c>
      <c r="B19" s="18" t="s">
        <v>73</v>
      </c>
      <c r="C19" s="18">
        <v>6</v>
      </c>
      <c r="D19" s="19" t="s">
        <v>326</v>
      </c>
      <c r="E19" s="19" t="s">
        <v>4</v>
      </c>
      <c r="F19" s="20">
        <v>7.7313999999999998</v>
      </c>
      <c r="G19" s="19" t="s">
        <v>71</v>
      </c>
      <c r="H19" s="19" t="s">
        <v>50</v>
      </c>
    </row>
    <row r="20" spans="1:8" ht="34" customHeight="1" x14ac:dyDescent="0.35">
      <c r="A20" s="18" t="s">
        <v>79</v>
      </c>
      <c r="B20" s="18" t="s">
        <v>77</v>
      </c>
      <c r="C20" s="18">
        <v>7</v>
      </c>
      <c r="D20" s="19" t="s">
        <v>327</v>
      </c>
      <c r="E20" s="19" t="s">
        <v>4</v>
      </c>
      <c r="F20" s="20">
        <v>1.7579</v>
      </c>
      <c r="G20" s="19" t="s">
        <v>81</v>
      </c>
      <c r="H20" s="19" t="s">
        <v>50</v>
      </c>
    </row>
    <row r="21" spans="1:8" ht="34" customHeight="1" x14ac:dyDescent="0.35">
      <c r="A21" s="18" t="s">
        <v>85</v>
      </c>
      <c r="B21" s="18" t="s">
        <v>82</v>
      </c>
      <c r="C21" s="18">
        <v>8</v>
      </c>
      <c r="D21" s="19" t="s">
        <v>83</v>
      </c>
      <c r="E21" s="19" t="s">
        <v>4</v>
      </c>
      <c r="F21" s="20">
        <v>0.62960000000000005</v>
      </c>
      <c r="G21" s="19" t="s">
        <v>81</v>
      </c>
      <c r="H21" s="19" t="s">
        <v>50</v>
      </c>
    </row>
    <row r="22" spans="1:8" ht="34" customHeight="1" x14ac:dyDescent="0.35">
      <c r="A22" s="18" t="s">
        <v>89</v>
      </c>
      <c r="B22" s="18" t="s">
        <v>87</v>
      </c>
      <c r="C22" s="18">
        <v>9</v>
      </c>
      <c r="D22" s="19" t="s">
        <v>328</v>
      </c>
      <c r="E22" s="19" t="s">
        <v>4</v>
      </c>
      <c r="F22" s="20">
        <v>0.69730000000000003</v>
      </c>
      <c r="G22" s="19" t="s">
        <v>81</v>
      </c>
      <c r="H22" s="19" t="s">
        <v>50</v>
      </c>
    </row>
    <row r="23" spans="1:8" ht="34" customHeight="1" x14ac:dyDescent="0.35">
      <c r="A23" s="18" t="s">
        <v>95</v>
      </c>
      <c r="B23" s="18" t="s">
        <v>92</v>
      </c>
      <c r="C23" s="18">
        <v>10</v>
      </c>
      <c r="D23" s="19" t="s">
        <v>93</v>
      </c>
      <c r="E23" s="19" t="s">
        <v>4</v>
      </c>
      <c r="F23" s="20">
        <v>0.69489999999999996</v>
      </c>
      <c r="G23" s="19" t="s">
        <v>81</v>
      </c>
      <c r="H23" s="19" t="s">
        <v>50</v>
      </c>
    </row>
    <row r="24" spans="1:8" ht="34" customHeight="1" x14ac:dyDescent="0.35">
      <c r="A24" s="18" t="s">
        <v>100</v>
      </c>
      <c r="B24" s="18" t="s">
        <v>97</v>
      </c>
      <c r="C24" s="18">
        <v>11</v>
      </c>
      <c r="D24" s="19" t="s">
        <v>98</v>
      </c>
      <c r="E24" s="19" t="s">
        <v>4</v>
      </c>
      <c r="F24" s="20">
        <v>1.2363</v>
      </c>
      <c r="G24" s="19" t="s">
        <v>81</v>
      </c>
      <c r="H24" s="19" t="s">
        <v>50</v>
      </c>
    </row>
    <row r="25" spans="1:8" ht="34" customHeight="1" x14ac:dyDescent="0.35">
      <c r="A25" s="18" t="s">
        <v>104</v>
      </c>
      <c r="B25" s="18" t="s">
        <v>102</v>
      </c>
      <c r="C25" s="18">
        <v>12</v>
      </c>
      <c r="D25" s="19" t="s">
        <v>329</v>
      </c>
      <c r="E25" s="19" t="s">
        <v>4</v>
      </c>
      <c r="F25" s="20">
        <v>0.28270000000000001</v>
      </c>
      <c r="G25" s="19" t="s">
        <v>81</v>
      </c>
      <c r="H25" s="19" t="s">
        <v>50</v>
      </c>
    </row>
    <row r="26" spans="1:8" ht="34" customHeight="1" x14ac:dyDescent="0.35">
      <c r="A26" s="18" t="s">
        <v>109</v>
      </c>
      <c r="B26" s="18" t="s">
        <v>106</v>
      </c>
      <c r="C26" s="18">
        <v>13</v>
      </c>
      <c r="D26" s="19" t="s">
        <v>330</v>
      </c>
      <c r="E26" s="19" t="s">
        <v>4</v>
      </c>
      <c r="F26" s="20">
        <v>0.29899999999999999</v>
      </c>
      <c r="G26" s="19" t="s">
        <v>81</v>
      </c>
      <c r="H26" s="19" t="s">
        <v>50</v>
      </c>
    </row>
    <row r="27" spans="1:8" ht="34" customHeight="1" x14ac:dyDescent="0.35">
      <c r="A27" s="18" t="s">
        <v>114</v>
      </c>
      <c r="B27" s="18" t="s">
        <v>111</v>
      </c>
      <c r="C27" s="18">
        <v>14</v>
      </c>
      <c r="D27" s="19" t="s">
        <v>331</v>
      </c>
      <c r="E27" s="19" t="s">
        <v>4</v>
      </c>
      <c r="F27" s="20">
        <v>0.125</v>
      </c>
      <c r="G27" s="19" t="s">
        <v>81</v>
      </c>
      <c r="H27" s="19" t="s">
        <v>50</v>
      </c>
    </row>
    <row r="28" spans="1:8" ht="34" customHeight="1" x14ac:dyDescent="0.35">
      <c r="A28" s="18" t="s">
        <v>118</v>
      </c>
      <c r="B28" s="18" t="s">
        <v>116</v>
      </c>
      <c r="C28" s="18">
        <v>15</v>
      </c>
      <c r="D28" s="19" t="s">
        <v>332</v>
      </c>
      <c r="E28" s="19" t="s">
        <v>4</v>
      </c>
      <c r="F28" s="20">
        <v>0.23119999999999999</v>
      </c>
      <c r="G28" s="19" t="s">
        <v>81</v>
      </c>
      <c r="H28" s="19" t="s">
        <v>50</v>
      </c>
    </row>
    <row r="29" spans="1:8" ht="34" customHeight="1" x14ac:dyDescent="0.35">
      <c r="A29" s="18" t="s">
        <v>122</v>
      </c>
      <c r="B29" s="18" t="s">
        <v>120</v>
      </c>
      <c r="C29" s="18">
        <v>16</v>
      </c>
      <c r="D29" s="19" t="s">
        <v>333</v>
      </c>
      <c r="E29" s="19" t="s">
        <v>4</v>
      </c>
      <c r="F29" s="20">
        <v>3.2218</v>
      </c>
      <c r="G29" s="19" t="s">
        <v>81</v>
      </c>
      <c r="H29" s="19" t="s">
        <v>50</v>
      </c>
    </row>
    <row r="30" spans="1:8" ht="34" customHeight="1" x14ac:dyDescent="0.35">
      <c r="A30" s="18" t="s">
        <v>126</v>
      </c>
      <c r="B30" s="18" t="s">
        <v>124</v>
      </c>
      <c r="C30" s="18">
        <v>17</v>
      </c>
      <c r="D30" s="19" t="s">
        <v>125</v>
      </c>
      <c r="E30" s="19" t="s">
        <v>4</v>
      </c>
      <c r="F30" s="20">
        <v>20.096900000000002</v>
      </c>
      <c r="G30" s="19" t="s">
        <v>81</v>
      </c>
      <c r="H30" s="19" t="s">
        <v>50</v>
      </c>
    </row>
    <row r="31" spans="1:8" ht="34" customHeight="1" x14ac:dyDescent="0.35">
      <c r="A31" s="18" t="s">
        <v>130</v>
      </c>
      <c r="B31" s="18" t="s">
        <v>128</v>
      </c>
      <c r="C31" s="18">
        <v>18</v>
      </c>
      <c r="D31" s="19" t="s">
        <v>334</v>
      </c>
      <c r="E31" s="19" t="s">
        <v>4</v>
      </c>
      <c r="F31" s="20">
        <v>14.8668</v>
      </c>
      <c r="G31" s="19" t="s">
        <v>81</v>
      </c>
      <c r="H31" s="19" t="s">
        <v>50</v>
      </c>
    </row>
    <row r="32" spans="1:8" ht="34" customHeight="1" x14ac:dyDescent="0.35">
      <c r="A32" s="18" t="s">
        <v>135</v>
      </c>
      <c r="B32" s="18" t="s">
        <v>132</v>
      </c>
      <c r="C32" s="18">
        <v>19</v>
      </c>
      <c r="D32" s="19" t="s">
        <v>335</v>
      </c>
      <c r="E32" s="19" t="s">
        <v>4</v>
      </c>
      <c r="F32" s="20">
        <v>8.9178999999999995</v>
      </c>
      <c r="G32" s="19" t="s">
        <v>81</v>
      </c>
      <c r="H32" s="19" t="s">
        <v>50</v>
      </c>
    </row>
    <row r="33" spans="1:8" ht="34" customHeight="1" x14ac:dyDescent="0.35">
      <c r="A33" s="18" t="s">
        <v>139</v>
      </c>
      <c r="B33" s="18" t="s">
        <v>137</v>
      </c>
      <c r="C33" s="18">
        <v>20</v>
      </c>
      <c r="D33" s="19" t="s">
        <v>336</v>
      </c>
      <c r="E33" s="19" t="s">
        <v>4</v>
      </c>
      <c r="F33" s="20">
        <v>11.391</v>
      </c>
      <c r="G33" s="19" t="s">
        <v>81</v>
      </c>
      <c r="H33" s="19" t="s">
        <v>50</v>
      </c>
    </row>
    <row r="34" spans="1:8" ht="34" customHeight="1" x14ac:dyDescent="0.35">
      <c r="A34" s="18" t="s">
        <v>143</v>
      </c>
      <c r="B34" s="18" t="s">
        <v>141</v>
      </c>
      <c r="C34" s="18">
        <v>21</v>
      </c>
      <c r="D34" s="19" t="s">
        <v>142</v>
      </c>
      <c r="E34" s="19" t="s">
        <v>4</v>
      </c>
      <c r="F34" s="20">
        <v>0.4496</v>
      </c>
      <c r="G34" s="19" t="s">
        <v>81</v>
      </c>
      <c r="H34" s="19" t="s">
        <v>50</v>
      </c>
    </row>
    <row r="35" spans="1:8" ht="34" customHeight="1" x14ac:dyDescent="0.35">
      <c r="A35" s="18" t="s">
        <v>147</v>
      </c>
      <c r="B35" s="18" t="s">
        <v>145</v>
      </c>
      <c r="C35" s="18">
        <v>22</v>
      </c>
      <c r="D35" s="19" t="s">
        <v>146</v>
      </c>
      <c r="E35" s="19" t="s">
        <v>4</v>
      </c>
      <c r="F35" s="20">
        <v>0.42120000000000002</v>
      </c>
      <c r="G35" s="19" t="s">
        <v>81</v>
      </c>
      <c r="H35" s="19" t="s">
        <v>50</v>
      </c>
    </row>
    <row r="36" spans="1:8" ht="34" customHeight="1" x14ac:dyDescent="0.35">
      <c r="A36" s="18" t="s">
        <v>151</v>
      </c>
      <c r="B36" s="18" t="s">
        <v>149</v>
      </c>
      <c r="C36" s="18">
        <v>23</v>
      </c>
      <c r="D36" s="19" t="s">
        <v>337</v>
      </c>
      <c r="E36" s="19" t="s">
        <v>4</v>
      </c>
      <c r="F36" s="20">
        <v>0.62160000000000004</v>
      </c>
      <c r="G36" s="19" t="s">
        <v>81</v>
      </c>
      <c r="H36" s="19" t="s">
        <v>50</v>
      </c>
    </row>
    <row r="37" spans="1:8" ht="34" customHeight="1" x14ac:dyDescent="0.35">
      <c r="A37" s="18" t="s">
        <v>155</v>
      </c>
      <c r="B37" s="18" t="s">
        <v>153</v>
      </c>
      <c r="C37" s="18">
        <v>24</v>
      </c>
      <c r="D37" s="19" t="s">
        <v>338</v>
      </c>
      <c r="E37" s="19" t="s">
        <v>4</v>
      </c>
      <c r="F37" s="20">
        <v>0.35809999999999997</v>
      </c>
      <c r="G37" s="19" t="s">
        <v>81</v>
      </c>
      <c r="H37" s="19" t="s">
        <v>50</v>
      </c>
    </row>
    <row r="38" spans="1:8" ht="34" customHeight="1" x14ac:dyDescent="0.35">
      <c r="A38" s="18" t="s">
        <v>159</v>
      </c>
      <c r="B38" s="18" t="s">
        <v>157</v>
      </c>
      <c r="C38" s="18">
        <v>25</v>
      </c>
      <c r="D38" s="19" t="s">
        <v>339</v>
      </c>
      <c r="E38" s="19" t="s">
        <v>4</v>
      </c>
      <c r="F38" s="20">
        <v>0.32690000000000002</v>
      </c>
      <c r="G38" s="19" t="s">
        <v>81</v>
      </c>
      <c r="H38" s="19" t="s">
        <v>50</v>
      </c>
    </row>
    <row r="39" spans="1:8" ht="34" customHeight="1" x14ac:dyDescent="0.35">
      <c r="A39" s="18" t="s">
        <v>163</v>
      </c>
      <c r="B39" s="18" t="s">
        <v>161</v>
      </c>
      <c r="C39" s="18">
        <v>26</v>
      </c>
      <c r="D39" s="19" t="s">
        <v>340</v>
      </c>
      <c r="E39" s="19" t="s">
        <v>4</v>
      </c>
      <c r="F39" s="20">
        <v>0.31990000000000002</v>
      </c>
      <c r="G39" s="19" t="s">
        <v>81</v>
      </c>
      <c r="H39" s="19" t="s">
        <v>50</v>
      </c>
    </row>
    <row r="40" spans="1:8" ht="34" customHeight="1" x14ac:dyDescent="0.35">
      <c r="A40" s="18" t="s">
        <v>167</v>
      </c>
      <c r="B40" s="18" t="s">
        <v>165</v>
      </c>
      <c r="C40" s="18">
        <v>27</v>
      </c>
      <c r="D40" s="19" t="s">
        <v>341</v>
      </c>
      <c r="E40" s="19" t="s">
        <v>4</v>
      </c>
      <c r="F40" s="20">
        <v>153.7115</v>
      </c>
      <c r="G40" s="19" t="s">
        <v>169</v>
      </c>
      <c r="H40" s="19" t="s">
        <v>50</v>
      </c>
    </row>
    <row r="41" spans="1:8" ht="34" customHeight="1" x14ac:dyDescent="0.35">
      <c r="A41" s="18" t="s">
        <v>172</v>
      </c>
      <c r="B41" s="18" t="s">
        <v>170</v>
      </c>
      <c r="C41" s="18">
        <v>28</v>
      </c>
      <c r="D41" s="19" t="s">
        <v>171</v>
      </c>
      <c r="E41" s="19" t="s">
        <v>4</v>
      </c>
      <c r="F41" s="20">
        <v>36.567799999999998</v>
      </c>
      <c r="G41" s="19" t="s">
        <v>169</v>
      </c>
      <c r="H41" s="19" t="s">
        <v>50</v>
      </c>
    </row>
    <row r="42" spans="1:8" ht="34" customHeight="1" x14ac:dyDescent="0.35">
      <c r="A42" s="18" t="s">
        <v>178</v>
      </c>
      <c r="B42" s="18" t="s">
        <v>174</v>
      </c>
      <c r="C42" s="18">
        <v>29</v>
      </c>
      <c r="D42" s="19" t="s">
        <v>342</v>
      </c>
      <c r="E42" s="19" t="s">
        <v>4</v>
      </c>
      <c r="F42" s="20">
        <v>1180.3205</v>
      </c>
      <c r="G42" s="19" t="s">
        <v>169</v>
      </c>
      <c r="H42" s="19" t="s">
        <v>50</v>
      </c>
    </row>
    <row r="43" spans="1:8" ht="34" customHeight="1" x14ac:dyDescent="0.35">
      <c r="A43" s="18" t="s">
        <v>182</v>
      </c>
      <c r="B43" s="18" t="s">
        <v>180</v>
      </c>
      <c r="C43" s="18">
        <v>30</v>
      </c>
      <c r="D43" s="19" t="s">
        <v>343</v>
      </c>
      <c r="E43" s="19" t="s">
        <v>4</v>
      </c>
      <c r="F43" s="20">
        <v>1129.0291</v>
      </c>
      <c r="G43" s="19" t="s">
        <v>184</v>
      </c>
      <c r="H43" s="19" t="s">
        <v>50</v>
      </c>
    </row>
    <row r="44" spans="1:8" ht="34" customHeight="1" x14ac:dyDescent="0.35">
      <c r="A44" s="18" t="s">
        <v>187</v>
      </c>
      <c r="B44" s="18" t="s">
        <v>185</v>
      </c>
      <c r="C44" s="18">
        <v>31</v>
      </c>
      <c r="D44" s="19" t="s">
        <v>344</v>
      </c>
      <c r="E44" s="19" t="s">
        <v>4</v>
      </c>
      <c r="F44" s="20">
        <v>24.981100000000001</v>
      </c>
      <c r="G44" s="19" t="s">
        <v>184</v>
      </c>
      <c r="H44" s="19" t="s">
        <v>50</v>
      </c>
    </row>
    <row r="45" spans="1:8" ht="34" customHeight="1" x14ac:dyDescent="0.35">
      <c r="A45" s="18" t="s">
        <v>191</v>
      </c>
      <c r="B45" s="18" t="s">
        <v>189</v>
      </c>
      <c r="C45" s="18">
        <v>32</v>
      </c>
      <c r="D45" s="19" t="s">
        <v>345</v>
      </c>
      <c r="E45" s="19" t="s">
        <v>4</v>
      </c>
      <c r="F45" s="20">
        <v>15.481999999999999</v>
      </c>
      <c r="G45" s="19" t="s">
        <v>184</v>
      </c>
      <c r="H45" s="19" t="s">
        <v>50</v>
      </c>
    </row>
    <row r="46" spans="1:8" ht="34" customHeight="1" x14ac:dyDescent="0.35">
      <c r="A46" s="18" t="s">
        <v>195</v>
      </c>
      <c r="B46" s="18" t="s">
        <v>193</v>
      </c>
      <c r="C46" s="18">
        <v>33</v>
      </c>
      <c r="D46" s="19" t="s">
        <v>346</v>
      </c>
      <c r="E46" s="19" t="s">
        <v>4</v>
      </c>
      <c r="F46" s="20">
        <v>549.24450000000002</v>
      </c>
      <c r="G46" s="19" t="s">
        <v>184</v>
      </c>
      <c r="H46" s="19" t="s">
        <v>50</v>
      </c>
    </row>
    <row r="47" spans="1:8" ht="34" customHeight="1" x14ac:dyDescent="0.35">
      <c r="A47" s="18" t="s">
        <v>199</v>
      </c>
      <c r="B47" s="18" t="s">
        <v>197</v>
      </c>
      <c r="C47" s="18">
        <v>34</v>
      </c>
      <c r="D47" s="19" t="s">
        <v>347</v>
      </c>
      <c r="E47" s="19" t="s">
        <v>4</v>
      </c>
      <c r="F47" s="20">
        <v>45.629800000000003</v>
      </c>
      <c r="G47" s="19" t="s">
        <v>184</v>
      </c>
      <c r="H47" s="19" t="s">
        <v>50</v>
      </c>
    </row>
    <row r="48" spans="1:8" ht="34" customHeight="1" x14ac:dyDescent="0.35">
      <c r="A48" s="18" t="s">
        <v>203</v>
      </c>
      <c r="B48" s="18" t="s">
        <v>201</v>
      </c>
      <c r="C48" s="18">
        <v>35</v>
      </c>
      <c r="D48" s="19" t="s">
        <v>202</v>
      </c>
      <c r="E48" s="19" t="s">
        <v>4</v>
      </c>
      <c r="F48" s="20">
        <v>3.1438000000000001</v>
      </c>
      <c r="G48" s="19" t="s">
        <v>205</v>
      </c>
      <c r="H48" s="19" t="s">
        <v>50</v>
      </c>
    </row>
    <row r="49" spans="1:8" ht="34" customHeight="1" x14ac:dyDescent="0.35">
      <c r="A49" s="18" t="s">
        <v>208</v>
      </c>
      <c r="B49" s="18" t="s">
        <v>206</v>
      </c>
      <c r="C49" s="18">
        <v>36</v>
      </c>
      <c r="D49" s="19" t="s">
        <v>348</v>
      </c>
      <c r="E49" s="19" t="s">
        <v>4</v>
      </c>
      <c r="F49" s="20">
        <v>0.17019999999999999</v>
      </c>
      <c r="G49" s="19" t="s">
        <v>205</v>
      </c>
      <c r="H49" s="19" t="s">
        <v>50</v>
      </c>
    </row>
    <row r="50" spans="1:8" ht="34" customHeight="1" x14ac:dyDescent="0.35">
      <c r="A50" s="18" t="s">
        <v>212</v>
      </c>
      <c r="B50" s="18" t="s">
        <v>210</v>
      </c>
      <c r="C50" s="18">
        <v>37</v>
      </c>
      <c r="D50" s="19" t="s">
        <v>349</v>
      </c>
      <c r="E50" s="19" t="s">
        <v>4</v>
      </c>
      <c r="F50" s="20">
        <v>1.1882999999999999</v>
      </c>
      <c r="G50" s="19" t="s">
        <v>214</v>
      </c>
      <c r="H50" s="19" t="s">
        <v>50</v>
      </c>
    </row>
    <row r="51" spans="1:8" ht="34" customHeight="1" x14ac:dyDescent="0.35">
      <c r="A51" s="18" t="s">
        <v>217</v>
      </c>
      <c r="B51" s="18" t="s">
        <v>215</v>
      </c>
      <c r="C51" s="18">
        <v>38</v>
      </c>
      <c r="D51" s="19" t="s">
        <v>350</v>
      </c>
      <c r="E51" s="19" t="s">
        <v>4</v>
      </c>
      <c r="F51" s="20">
        <v>0.2621</v>
      </c>
      <c r="G51" s="19" t="s">
        <v>214</v>
      </c>
      <c r="H51" s="19" t="s">
        <v>50</v>
      </c>
    </row>
    <row r="52" spans="1:8" ht="34" customHeight="1" x14ac:dyDescent="0.35">
      <c r="A52" s="18" t="s">
        <v>221</v>
      </c>
      <c r="B52" s="18" t="s">
        <v>219</v>
      </c>
      <c r="C52" s="18">
        <v>39</v>
      </c>
      <c r="D52" s="19" t="s">
        <v>351</v>
      </c>
      <c r="E52" s="19" t="s">
        <v>4</v>
      </c>
      <c r="F52" s="20">
        <v>0.54490000000000005</v>
      </c>
      <c r="G52" s="19" t="s">
        <v>214</v>
      </c>
      <c r="H52" s="19" t="s">
        <v>50</v>
      </c>
    </row>
    <row r="53" spans="1:8" ht="34" customHeight="1" x14ac:dyDescent="0.35">
      <c r="A53" s="18" t="s">
        <v>225</v>
      </c>
      <c r="B53" s="18" t="s">
        <v>223</v>
      </c>
      <c r="C53" s="18">
        <v>40</v>
      </c>
      <c r="D53" s="19" t="s">
        <v>224</v>
      </c>
      <c r="E53" s="19" t="s">
        <v>4</v>
      </c>
      <c r="F53" s="20">
        <v>1.5112000000000001</v>
      </c>
      <c r="G53" s="19" t="s">
        <v>227</v>
      </c>
      <c r="H53" s="19" t="s">
        <v>50</v>
      </c>
    </row>
    <row r="54" spans="1:8" ht="34" customHeight="1" x14ac:dyDescent="0.35">
      <c r="A54" s="18" t="s">
        <v>231</v>
      </c>
      <c r="B54" s="18" t="s">
        <v>228</v>
      </c>
      <c r="C54" s="18">
        <v>41</v>
      </c>
      <c r="D54" s="19" t="s">
        <v>229</v>
      </c>
      <c r="E54" s="19" t="s">
        <v>4</v>
      </c>
      <c r="F54" s="20">
        <v>0.3548</v>
      </c>
      <c r="G54" s="19" t="s">
        <v>227</v>
      </c>
      <c r="H54" s="19" t="s">
        <v>50</v>
      </c>
    </row>
    <row r="55" spans="1:8" ht="34" customHeight="1" x14ac:dyDescent="0.35">
      <c r="A55" s="18" t="s">
        <v>235</v>
      </c>
      <c r="B55" s="18" t="s">
        <v>233</v>
      </c>
      <c r="C55" s="18">
        <v>42</v>
      </c>
      <c r="D55" s="19" t="s">
        <v>234</v>
      </c>
      <c r="E55" s="19" t="s">
        <v>4</v>
      </c>
      <c r="F55" s="20">
        <v>0.99399999999999999</v>
      </c>
      <c r="G55" s="19" t="s">
        <v>227</v>
      </c>
      <c r="H55" s="19" t="s">
        <v>50</v>
      </c>
    </row>
    <row r="56" spans="1:8" ht="34" customHeight="1" x14ac:dyDescent="0.35">
      <c r="A56" s="18" t="s">
        <v>239</v>
      </c>
      <c r="B56" s="18" t="s">
        <v>237</v>
      </c>
      <c r="C56" s="18">
        <v>43</v>
      </c>
      <c r="D56" s="19" t="s">
        <v>352</v>
      </c>
      <c r="E56" s="19" t="s">
        <v>4</v>
      </c>
      <c r="F56" s="20">
        <v>23.7805</v>
      </c>
      <c r="G56" s="19" t="s">
        <v>241</v>
      </c>
      <c r="H56" s="19" t="s">
        <v>50</v>
      </c>
    </row>
    <row r="57" spans="1:8" ht="34" customHeight="1" x14ac:dyDescent="0.35">
      <c r="A57" s="18" t="s">
        <v>244</v>
      </c>
      <c r="B57" s="18" t="s">
        <v>242</v>
      </c>
      <c r="C57" s="18">
        <v>44</v>
      </c>
      <c r="D57" s="19" t="s">
        <v>353</v>
      </c>
      <c r="E57" s="19" t="s">
        <v>4</v>
      </c>
      <c r="F57" s="20">
        <v>16.667200000000001</v>
      </c>
      <c r="G57" s="19" t="s">
        <v>241</v>
      </c>
      <c r="H57" s="19" t="s">
        <v>50</v>
      </c>
    </row>
    <row r="58" spans="1:8" ht="34" customHeight="1" x14ac:dyDescent="0.35">
      <c r="A58" s="18" t="s">
        <v>248</v>
      </c>
      <c r="B58" s="18" t="s">
        <v>246</v>
      </c>
      <c r="C58" s="18">
        <v>45</v>
      </c>
      <c r="D58" s="19" t="s">
        <v>354</v>
      </c>
      <c r="E58" s="19" t="s">
        <v>4</v>
      </c>
      <c r="F58" s="20">
        <v>13.5732</v>
      </c>
      <c r="G58" s="19" t="s">
        <v>241</v>
      </c>
      <c r="H58" s="19" t="s">
        <v>50</v>
      </c>
    </row>
    <row r="59" spans="1:8" ht="34" customHeight="1" x14ac:dyDescent="0.35">
      <c r="A59" s="18" t="s">
        <v>252</v>
      </c>
      <c r="B59" s="18" t="s">
        <v>250</v>
      </c>
      <c r="C59" s="18">
        <v>46</v>
      </c>
      <c r="D59" s="19" t="s">
        <v>355</v>
      </c>
      <c r="E59" s="19" t="s">
        <v>4</v>
      </c>
      <c r="F59" s="20">
        <v>31.2256</v>
      </c>
      <c r="G59" s="19" t="s">
        <v>241</v>
      </c>
      <c r="H59" s="19" t="s">
        <v>50</v>
      </c>
    </row>
    <row r="60" spans="1:8" ht="34" customHeight="1" x14ac:dyDescent="0.35">
      <c r="A60" s="18" t="s">
        <v>256</v>
      </c>
      <c r="B60" s="18" t="s">
        <v>254</v>
      </c>
      <c r="C60" s="18">
        <v>47</v>
      </c>
      <c r="D60" s="19" t="s">
        <v>356</v>
      </c>
      <c r="E60" s="19" t="s">
        <v>4</v>
      </c>
      <c r="F60" s="20">
        <v>10.0223</v>
      </c>
      <c r="G60" s="19" t="s">
        <v>241</v>
      </c>
      <c r="H60" s="19" t="s">
        <v>50</v>
      </c>
    </row>
    <row r="61" spans="1:8" ht="34" customHeight="1" x14ac:dyDescent="0.35">
      <c r="A61" s="18" t="s">
        <v>260</v>
      </c>
      <c r="B61" s="18" t="s">
        <v>258</v>
      </c>
      <c r="C61" s="18">
        <v>48</v>
      </c>
      <c r="D61" s="19" t="s">
        <v>357</v>
      </c>
      <c r="E61" s="19" t="s">
        <v>4</v>
      </c>
      <c r="F61" s="20">
        <v>28.776499999999999</v>
      </c>
      <c r="G61" s="19" t="s">
        <v>241</v>
      </c>
      <c r="H61" s="19" t="s">
        <v>50</v>
      </c>
    </row>
    <row r="62" spans="1:8" ht="34" customHeight="1" x14ac:dyDescent="0.35">
      <c r="A62" s="18" t="s">
        <v>266</v>
      </c>
      <c r="B62" s="18" t="s">
        <v>262</v>
      </c>
      <c r="C62" s="18">
        <v>49</v>
      </c>
      <c r="D62" s="19" t="s">
        <v>358</v>
      </c>
      <c r="E62" s="19" t="s">
        <v>4</v>
      </c>
      <c r="F62" s="20">
        <v>1133.3818000000001</v>
      </c>
      <c r="G62" s="19" t="s">
        <v>241</v>
      </c>
      <c r="H62" s="19" t="s">
        <v>50</v>
      </c>
    </row>
    <row r="63" spans="1:8" ht="34" customHeight="1" x14ac:dyDescent="0.35">
      <c r="A63" s="18" t="s">
        <v>270</v>
      </c>
      <c r="B63" s="18" t="s">
        <v>268</v>
      </c>
      <c r="C63" s="18">
        <v>50</v>
      </c>
      <c r="D63" s="19" t="s">
        <v>359</v>
      </c>
      <c r="E63" s="19" t="s">
        <v>4</v>
      </c>
      <c r="F63" s="20">
        <v>1170.8561999999999</v>
      </c>
      <c r="G63" s="19" t="s">
        <v>241</v>
      </c>
      <c r="H63" s="19" t="s">
        <v>50</v>
      </c>
    </row>
    <row r="64" spans="1:8" ht="34" customHeight="1" x14ac:dyDescent="0.35">
      <c r="A64" s="18" t="s">
        <v>274</v>
      </c>
      <c r="B64" s="18" t="s">
        <v>272</v>
      </c>
      <c r="C64" s="18">
        <v>51</v>
      </c>
      <c r="D64" s="19" t="s">
        <v>360</v>
      </c>
      <c r="E64" s="19" t="s">
        <v>4</v>
      </c>
      <c r="F64" s="20">
        <v>21.039200000000001</v>
      </c>
      <c r="G64" s="19" t="s">
        <v>241</v>
      </c>
      <c r="H64" s="19" t="s">
        <v>50</v>
      </c>
    </row>
    <row r="65" spans="1:8" ht="34" customHeight="1" x14ac:dyDescent="0.35">
      <c r="A65" s="18" t="s">
        <v>278</v>
      </c>
      <c r="B65" s="18" t="s">
        <v>276</v>
      </c>
      <c r="C65" s="18">
        <v>52</v>
      </c>
      <c r="D65" s="19" t="s">
        <v>361</v>
      </c>
      <c r="E65" s="19" t="s">
        <v>4</v>
      </c>
      <c r="F65" s="20">
        <v>1173.0352</v>
      </c>
      <c r="G65" s="19" t="s">
        <v>241</v>
      </c>
      <c r="H65" s="19" t="s">
        <v>50</v>
      </c>
    </row>
    <row r="66" spans="1:8" ht="34" customHeight="1" x14ac:dyDescent="0.35">
      <c r="A66" s="18" t="s">
        <v>282</v>
      </c>
      <c r="B66" s="18" t="s">
        <v>280</v>
      </c>
      <c r="C66" s="18">
        <v>53</v>
      </c>
      <c r="D66" s="19" t="s">
        <v>281</v>
      </c>
      <c r="E66" s="19" t="s">
        <v>4</v>
      </c>
      <c r="F66" s="20">
        <v>985.23760000000004</v>
      </c>
      <c r="G66" s="19" t="s">
        <v>241</v>
      </c>
      <c r="H66" s="19" t="s">
        <v>50</v>
      </c>
    </row>
    <row r="67" spans="1:8" ht="34" customHeight="1" x14ac:dyDescent="0.35">
      <c r="A67" s="18" t="s">
        <v>286</v>
      </c>
      <c r="B67" s="18" t="s">
        <v>284</v>
      </c>
      <c r="C67" s="18">
        <v>54</v>
      </c>
      <c r="D67" s="19" t="s">
        <v>362</v>
      </c>
      <c r="E67" s="19" t="s">
        <v>4</v>
      </c>
      <c r="F67" s="20">
        <v>1245.5088000000001</v>
      </c>
      <c r="G67" s="19" t="s">
        <v>241</v>
      </c>
      <c r="H67" s="19" t="s">
        <v>50</v>
      </c>
    </row>
    <row r="68" spans="1:8" ht="34" customHeight="1" x14ac:dyDescent="0.35">
      <c r="A68" s="18" t="s">
        <v>290</v>
      </c>
      <c r="B68" s="18" t="s">
        <v>288</v>
      </c>
      <c r="C68" s="18">
        <v>55</v>
      </c>
      <c r="D68" s="19" t="s">
        <v>363</v>
      </c>
      <c r="E68" s="19" t="s">
        <v>4</v>
      </c>
      <c r="F68" s="20">
        <v>8.0677000000000003</v>
      </c>
      <c r="G68" s="19" t="s">
        <v>292</v>
      </c>
      <c r="H68" s="19" t="s">
        <v>50</v>
      </c>
    </row>
    <row r="69" spans="1:8" ht="34" customHeight="1" x14ac:dyDescent="0.35">
      <c r="A69" s="18" t="s">
        <v>295</v>
      </c>
      <c r="B69" s="18" t="s">
        <v>293</v>
      </c>
      <c r="C69" s="18">
        <v>56</v>
      </c>
      <c r="D69" s="19" t="s">
        <v>294</v>
      </c>
      <c r="E69" s="19" t="s">
        <v>4</v>
      </c>
      <c r="F69" s="20">
        <v>87.6096</v>
      </c>
      <c r="G69" s="19" t="s">
        <v>297</v>
      </c>
      <c r="H69" s="19" t="s">
        <v>50</v>
      </c>
    </row>
  </sheetData>
  <mergeCells count="16">
    <mergeCell ref="B10:E10"/>
    <mergeCell ref="G10:H10"/>
    <mergeCell ref="B11:E11"/>
    <mergeCell ref="G11:H11"/>
    <mergeCell ref="B7:E7"/>
    <mergeCell ref="G7:H7"/>
    <mergeCell ref="B8:E8"/>
    <mergeCell ref="G8:H8"/>
    <mergeCell ref="B9:E9"/>
    <mergeCell ref="G9:H9"/>
    <mergeCell ref="A1:H2"/>
    <mergeCell ref="A3:H3"/>
    <mergeCell ref="B5:E5"/>
    <mergeCell ref="G5:H5"/>
    <mergeCell ref="B6:E6"/>
    <mergeCell ref="G6:H6"/>
  </mergeCells>
  <conditionalFormatting sqref="E14:E69">
    <cfRule type="containsText" dxfId="1" priority="1" operator="containsText" text="Passed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tabSelected="1" workbookViewId="0">
      <selection activeCell="A19" sqref="A19:XFD19"/>
    </sheetView>
  </sheetViews>
  <sheetFormatPr defaultRowHeight="14.5" x14ac:dyDescent="0.35"/>
  <cols>
    <col min="1" max="1" width="11" customWidth="1"/>
    <col min="2" max="2" width="15" customWidth="1"/>
    <col min="3" max="3" width="58" customWidth="1"/>
    <col min="4" max="4" width="16" customWidth="1"/>
    <col min="5" max="5" width="52" customWidth="1"/>
  </cols>
  <sheetData>
    <row r="1" spans="1:5" ht="26" customHeight="1" x14ac:dyDescent="0.35">
      <c r="A1" s="58" t="s">
        <v>364</v>
      </c>
      <c r="B1" s="58"/>
      <c r="C1" s="58"/>
      <c r="D1" s="58"/>
      <c r="E1" s="58"/>
    </row>
    <row r="2" spans="1:5" ht="26" customHeight="1" x14ac:dyDescent="0.35">
      <c r="A2" s="58"/>
      <c r="B2" s="58"/>
      <c r="C2" s="58"/>
      <c r="D2" s="58"/>
      <c r="E2" s="58"/>
    </row>
    <row r="3" spans="1:5" ht="26" customHeight="1" x14ac:dyDescent="0.35">
      <c r="A3" s="59" t="s">
        <v>365</v>
      </c>
      <c r="B3" s="59"/>
      <c r="C3" s="59"/>
      <c r="D3" s="59"/>
      <c r="E3" s="59"/>
    </row>
    <row r="4" spans="1:5" ht="26" customHeight="1" x14ac:dyDescent="0.35">
      <c r="A4" s="16" t="s">
        <v>366</v>
      </c>
      <c r="B4" s="16" t="s">
        <v>367</v>
      </c>
      <c r="C4" s="16" t="s">
        <v>368</v>
      </c>
      <c r="D4" s="16" t="s">
        <v>35</v>
      </c>
      <c r="E4" s="16" t="s">
        <v>369</v>
      </c>
    </row>
    <row r="5" spans="1:5" ht="50" customHeight="1" x14ac:dyDescent="0.35">
      <c r="A5" s="19" t="s">
        <v>370</v>
      </c>
      <c r="B5" s="19" t="s">
        <v>371</v>
      </c>
      <c r="C5" s="19" t="s">
        <v>372</v>
      </c>
      <c r="D5" s="19" t="s">
        <v>373</v>
      </c>
      <c r="E5" s="19" t="s">
        <v>374</v>
      </c>
    </row>
    <row r="6" spans="1:5" ht="50" customHeight="1" x14ac:dyDescent="0.35">
      <c r="A6" s="19" t="s">
        <v>375</v>
      </c>
      <c r="B6" s="19" t="s">
        <v>371</v>
      </c>
      <c r="C6" s="19" t="s">
        <v>376</v>
      </c>
      <c r="D6" s="19" t="s">
        <v>373</v>
      </c>
      <c r="E6" s="19" t="s">
        <v>377</v>
      </c>
    </row>
    <row r="7" spans="1:5" ht="50" customHeight="1" x14ac:dyDescent="0.35">
      <c r="A7" s="19" t="s">
        <v>378</v>
      </c>
      <c r="B7" s="19" t="s">
        <v>371</v>
      </c>
      <c r="C7" s="19" t="s">
        <v>379</v>
      </c>
      <c r="D7" s="19" t="s">
        <v>373</v>
      </c>
      <c r="E7" s="19" t="s">
        <v>380</v>
      </c>
    </row>
    <row r="8" spans="1:5" ht="50" customHeight="1" x14ac:dyDescent="0.35">
      <c r="A8" s="19" t="s">
        <v>381</v>
      </c>
      <c r="B8" s="19" t="s">
        <v>371</v>
      </c>
      <c r="C8" s="19" t="s">
        <v>382</v>
      </c>
      <c r="D8" s="19" t="s">
        <v>373</v>
      </c>
      <c r="E8" s="19" t="s">
        <v>383</v>
      </c>
    </row>
    <row r="9" spans="1:5" ht="50" customHeight="1" x14ac:dyDescent="0.35">
      <c r="A9" s="19" t="s">
        <v>384</v>
      </c>
      <c r="B9" s="19" t="s">
        <v>371</v>
      </c>
      <c r="C9" s="19" t="s">
        <v>385</v>
      </c>
      <c r="D9" s="19" t="s">
        <v>373</v>
      </c>
      <c r="E9" s="19" t="s">
        <v>386</v>
      </c>
    </row>
    <row r="10" spans="1:5" ht="50" customHeight="1" x14ac:dyDescent="0.35">
      <c r="A10" s="19" t="s">
        <v>387</v>
      </c>
      <c r="B10" s="19" t="s">
        <v>371</v>
      </c>
      <c r="C10" s="19" t="s">
        <v>388</v>
      </c>
      <c r="D10" s="19" t="s">
        <v>373</v>
      </c>
      <c r="E10" s="19" t="s">
        <v>389</v>
      </c>
    </row>
    <row r="11" spans="1:5" ht="50" customHeight="1" x14ac:dyDescent="0.35">
      <c r="A11" s="19" t="s">
        <v>390</v>
      </c>
      <c r="B11" s="19" t="s">
        <v>391</v>
      </c>
      <c r="C11" s="19" t="s">
        <v>392</v>
      </c>
      <c r="D11" s="19" t="s">
        <v>373</v>
      </c>
      <c r="E11" s="19" t="s">
        <v>393</v>
      </c>
    </row>
    <row r="12" spans="1:5" ht="50" customHeight="1" x14ac:dyDescent="0.35">
      <c r="A12" s="19" t="s">
        <v>394</v>
      </c>
      <c r="B12" s="19" t="s">
        <v>391</v>
      </c>
      <c r="C12" s="19" t="s">
        <v>395</v>
      </c>
      <c r="D12" s="19" t="s">
        <v>373</v>
      </c>
      <c r="E12" s="19" t="s">
        <v>396</v>
      </c>
    </row>
    <row r="13" spans="1:5" ht="50" customHeight="1" x14ac:dyDescent="0.35">
      <c r="A13" s="19" t="s">
        <v>397</v>
      </c>
      <c r="B13" s="19" t="s">
        <v>22</v>
      </c>
      <c r="C13" s="19" t="s">
        <v>398</v>
      </c>
      <c r="D13" s="19" t="s">
        <v>373</v>
      </c>
      <c r="E13" s="19" t="s">
        <v>399</v>
      </c>
    </row>
    <row r="14" spans="1:5" ht="50" customHeight="1" x14ac:dyDescent="0.35">
      <c r="A14" s="19" t="s">
        <v>400</v>
      </c>
      <c r="B14" s="19" t="s">
        <v>22</v>
      </c>
      <c r="C14" s="19" t="s">
        <v>401</v>
      </c>
      <c r="D14" s="19" t="s">
        <v>373</v>
      </c>
      <c r="E14" s="19" t="s">
        <v>402</v>
      </c>
    </row>
    <row r="15" spans="1:5" ht="50" customHeight="1" x14ac:dyDescent="0.35">
      <c r="A15" s="19" t="s">
        <v>403</v>
      </c>
      <c r="B15" s="19" t="s">
        <v>404</v>
      </c>
      <c r="C15" s="19" t="s">
        <v>405</v>
      </c>
      <c r="D15" s="19" t="s">
        <v>373</v>
      </c>
      <c r="E15" s="19" t="s">
        <v>406</v>
      </c>
    </row>
    <row r="16" spans="1:5" ht="50" customHeight="1" x14ac:dyDescent="0.35">
      <c r="A16" s="19" t="s">
        <v>407</v>
      </c>
      <c r="B16" s="19" t="s">
        <v>404</v>
      </c>
      <c r="C16" s="19" t="s">
        <v>408</v>
      </c>
      <c r="D16" s="19" t="s">
        <v>373</v>
      </c>
      <c r="E16" s="19" t="s">
        <v>409</v>
      </c>
    </row>
    <row r="17" spans="1:5" ht="50" customHeight="1" x14ac:dyDescent="0.35">
      <c r="A17" s="19" t="s">
        <v>410</v>
      </c>
      <c r="B17" s="19" t="s">
        <v>84</v>
      </c>
      <c r="C17" s="19" t="s">
        <v>411</v>
      </c>
      <c r="D17" s="19" t="s">
        <v>373</v>
      </c>
      <c r="E17" s="19" t="s">
        <v>412</v>
      </c>
    </row>
    <row r="18" spans="1:5" ht="50" customHeight="1" x14ac:dyDescent="0.35">
      <c r="A18" s="19" t="s">
        <v>413</v>
      </c>
      <c r="B18" s="19" t="s">
        <v>414</v>
      </c>
      <c r="C18" s="19" t="s">
        <v>415</v>
      </c>
      <c r="D18" s="19" t="s">
        <v>373</v>
      </c>
      <c r="E18" s="19" t="s">
        <v>416</v>
      </c>
    </row>
  </sheetData>
  <mergeCells count="2">
    <mergeCell ref="A1:E2"/>
    <mergeCell ref="A3:E3"/>
  </mergeCells>
  <conditionalFormatting sqref="D5:D18">
    <cfRule type="containsText" dxfId="0" priority="1" operator="containsText" text="Not executed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Testing Evidence</vt:lpstr>
      <vt:lpstr>Production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Anuveshika  Prasad</cp:lastModifiedBy>
  <dcterms:modified xsi:type="dcterms:W3CDTF">2026-08-17T14:02:15Z</dcterms:modified>
</cp:coreProperties>
</file>